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 Log" sheetId="2" state="visible" r:id="rId2"/>
    <sheet name="Weekly Review" sheetId="3" state="visible" r:id="rId3"/>
    <sheet name="Evidence Queue" sheetId="4" state="visible" r:id="rId4"/>
    <sheet name="WIP Limit" sheetId="5" state="visible" r:id="rId5"/>
    <sheet name="Chaos Mode" sheetId="6" state="visible" r:id="rId6"/>
    <sheet name="Habit &amp; Energy" sheetId="7" state="visible" r:id="rId7"/>
    <sheet name="Certification" sheetId="8" state="visible" r:id="rId8"/>
    <sheet name="School Risk" sheetId="9" state="visible" r:id="rId9"/>
    <sheet name="Monthly Review" sheetId="10" state="visible" r:id="rId10"/>
    <sheet name="Lookup" sheetId="11" state="visible" r:id="rId11"/>
  </sheets>
  <definedNames>
    <definedName name="RoadmapPhase">'Lookup'!$B$2:$B$8</definedName>
    <definedName name="TaskType">'Lookup'!$B$9:$B$18</definedName>
    <definedName name="Category">'Lookup'!$B$19:$B$32</definedName>
    <definedName name="SystemProject">'Lookup'!$B$33:$B$45</definedName>
    <definedName name="EvidenceProduced">'Lookup'!$B$46:$B$48</definedName>
    <definedName name="YesNoNA">'Lookup'!$B$49:$B$51</definedName>
    <definedName name="YesNo">'Lookup'!$B$52:$B$53</definedName>
    <definedName name="EnergyLevel">'Lookup'!$B$54:$B$58</definedName>
    <definedName name="SchoolRiskLevel">'Lookup'!$B$59:$B$61</definedName>
    <definedName name="Status">'Lookup'!$B$62:$B$67</definedName>
    <definedName name="ReviewStatus">'Lookup'!$B$68:$B$72</definedName>
    <definedName name="DecisionNextWeek">'Lookup'!$B$73:$B$79</definedName>
    <definedName name="WIPStatus">'Lookup'!$B$80:$B$82</definedName>
    <definedName name="ActionRequired">'Lookup'!$B$83:$B$88</definedName>
    <definedName name="ChaosModeStatus">'Lookup'!$B$89:$B$91</definedName>
    <definedName name="AllowedWork">'Lookup'!$B$92:$B$98</definedName>
    <definedName name="BannedWork">'Lookup'!$B$99:$B$104</definedName>
    <definedName name="RecoveryAction">'Lookup'!$B$105:$B$111</definedName>
    <definedName name="EvidenceType">'Lookup'!$B$112:$B$123</definedName>
    <definedName name="EvidenceLevel">'Lookup'!$B$124:$B$128</definedName>
    <definedName name="EvidenceQueueStatus">'Lookup'!$B$129:$B$133</definedName>
    <definedName name="CertificationTrack">'Lookup'!$B$134:$B$137</definedName>
    <definedName name="StudyType">'Lookup'!$B$138:$B$143</definedName>
    <definedName name="StressLevel">'Lookup'!$B$144:$B$146</definedName>
    <definedName name="ContextSwitchingLevel">'Lookup'!$B$147:$B$149</definedName>
    <definedName name="MonthlyDecision">'Lookup'!$B$150:$B$156</definedName>
    <definedName name="WorkStatus">'Lookup'!$B$157:$B$162</definedName>
    <definedName name="SchoolStatus">'Lookup'!$B$163:$B$167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C0006"/>
    </font>
    <font>
      <name val="Calibri"/>
      <b val="1"/>
      <color rgb="001F4E78"/>
      <sz val="18"/>
    </font>
    <font>
      <name val="Calibri"/>
      <i val="1"/>
      <color rgb="00666666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B7DE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Roadmap Balance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>
              <a:prstDash val="solid"/>
            </a:ln>
          </spPr>
          <cat>
            <numRef>
              <f>'Dashboard'!$D$5:$D$13</f>
            </numRef>
          </cat>
          <val>
            <numRef>
              <f>'Dashboard'!$E$5:$E$13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Task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43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AB8" headerRowCount="1">
  <autoFilter ref="A1:AB8"/>
  <tableColumns count="28">
    <tableColumn id="1" name="Date"/>
    <tableColumn id="2" name="Day"/>
    <tableColumn id="3" name="Week Number"/>
    <tableColumn id="4" name="Month"/>
    <tableColumn id="5" name="Roadmap Phase"/>
    <tableColumn id="6" name="Quarter"/>
    <tableColumn id="7" name="Task Title"/>
    <tableColumn id="8" name="Task Type"/>
    <tableColumn id="9" name="Category"/>
    <tableColumn id="10" name="System / Project"/>
    <tableColumn id="11" name="Formal Concept"/>
    <tableColumn id="12" name="Hypothesis / Goal"/>
    <tableColumn id="13" name="Action Taken"/>
    <tableColumn id="14" name="Result"/>
    <tableColumn id="15" name="Evidence Produced?"/>
    <tableColumn id="16" name="Evidence Link / Path"/>
    <tableColumn id="17" name="Break?"/>
    <tableColumn id="18" name="Measure?"/>
    <tableColumn id="19" name="Fix?"/>
    <tableColumn id="20" name="Document?"/>
    <tableColumn id="21" name="Time Spent Hours"/>
    <tableColumn id="22" name="Energy Level"/>
    <tableColumn id="23" name="Sleep Hours"/>
    <tableColumn id="24" name="School Risk Level"/>
    <tableColumn id="25" name="Chaos Mode?"/>
    <tableColumn id="26" name="Status"/>
    <tableColumn id="27" name="Notes"/>
    <tableColumn id="28" name="Next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Review" displayName="WeeklyReview" ref="A1:U2" headerRowCount="1">
  <autoFilter ref="A1:U2"/>
  <tableColumns count="21">
    <tableColumn id="1" name="Week Start"/>
    <tableColumn id="2" name="Week End"/>
    <tableColumn id="3" name="Main Roadmap Phase"/>
    <tableColumn id="4" name="Weekly Theme"/>
    <tableColumn id="5" name="What did I break?"/>
    <tableColumn id="6" name="What did I measure?"/>
    <tableColumn id="7" name="What theory did I map it to?"/>
    <tableColumn id="8" name="What evidence did I produce?"/>
    <tableColumn id="9" name="What would a senior engineer reject as hand-wavy?"/>
    <tableColumn id="10" name="Best Evidence Link"/>
    <tableColumn id="11" name="Lab Report Link"/>
    <tableColumn id="12" name="Postmortem Link"/>
    <tableColumn id="13" name="ADR Link"/>
    <tableColumn id="14" name="Total Focus Hours"/>
    <tableColumn id="15" name="Evidence Count"/>
    <tableColumn id="16" name="Labs Completed"/>
    <tableColumn id="17" name="Certification Progress"/>
    <tableColumn id="18" name="School Risk Summary"/>
    <tableColumn id="19" name="Chaos Mode Triggered?"/>
    <tableColumn id="20" name="Review Status"/>
    <tableColumn id="21" name="Decision for Next Wee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Queue" displayName="EvidenceQueue" ref="A1:O6" headerRowCount="1">
  <autoFilter ref="A1:O6"/>
  <tableColumns count="15">
    <tableColumn id="1" name="Evidence ID"/>
    <tableColumn id="2" name="Date"/>
    <tableColumn id="3" name="Related Task"/>
    <tableColumn id="4" name="Roadmap Phase"/>
    <tableColumn id="5" name="Evidence Type"/>
    <tableColumn id="6" name="Evidence Level"/>
    <tableColumn id="7" name="File / Link / Path"/>
    <tableColumn id="8" name="System / Project"/>
    <tableColumn id="9" name="Formal Concept"/>
    <tableColumn id="10" name="What It Proves"/>
    <tableColumn id="11" name="What It Does Not Prove"/>
    <tableColumn id="12" name="Needs Cleanup?"/>
    <tableColumn id="13" name="Portfolio Candidate?"/>
    <tableColumn id="14" name="Status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IPLimit" displayName="WIPLimit" ref="A1:K8" headerRowCount="1">
  <autoFilter ref="A1:K8"/>
  <tableColumns count="11">
    <tableColumn id="1" name="Date"/>
    <tableColumn id="2" name="Active University Deliverable"/>
    <tableColumn id="3" name="University Status"/>
    <tableColumn id="4" name="Active Certification Track"/>
    <tableColumn id="5" name="Certification Status"/>
    <tableColumn id="6" name="Active Homelab Experiment / Document"/>
    <tableColumn id="7" name="Homelab Status"/>
    <tableColumn id="8" name="Total Active Items"/>
    <tableColumn id="9" name="WIP Limit Status"/>
    <tableColumn id="10" name="Action Required"/>
    <tableColumn id="11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osMode" displayName="ChaosMode" ref="A1:L8" headerRowCount="1">
  <autoFilter ref="A1:L8"/>
  <tableColumns count="12">
    <tableColumn id="1" name="Date"/>
    <tableColumn id="2" name="Two deadlines within 7 days?"/>
    <tableColumn id="3" name="Exam within 5 days?"/>
    <tableColumn id="4" name="Sleep below 6h for 2 nights?"/>
    <tableColumn id="5" name="Lab unresolved after 2h?"/>
    <tableColumn id="6" name="Group assignment depends on me?"/>
    <tableColumn id="7" name="Mental fatigue / context switching slow?"/>
    <tableColumn id="8" name="Chaos Mode Status"/>
    <tableColumn id="9" name="Allowed Work"/>
    <tableColumn id="10" name="Banned Work"/>
    <tableColumn id="11" name="Recovery Action"/>
    <tableColumn id="12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HabitEnergy" displayName="HabitEnergy" ref="A1:K8" headerRowCount="1">
  <autoFilter ref="A1:K8"/>
  <tableColumns count="11">
    <tableColumn id="1" name="Date"/>
    <tableColumn id="2" name="Sleep Hours"/>
    <tableColumn id="3" name="Focus Hours"/>
    <tableColumn id="4" name="Deep Work Blocks"/>
    <tableColumn id="5" name="Exercise / Run?"/>
    <tableColumn id="6" name="Energy Level"/>
    <tableColumn id="7" name="Stress Level"/>
    <tableColumn id="8" name="Context Switching Level"/>
    <tableColumn id="9" name="Late Night Debugging?"/>
    <tableColumn id="10" name="Recovery Done?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ertification" displayName="Certification" ref="A2:K4" headerRowCount="1">
  <autoFilter ref="A2:K4"/>
  <tableColumns count="11">
    <tableColumn id="1" name="Date"/>
    <tableColumn id="2" name="Certification Track"/>
    <tableColumn id="3" name="Domain / Topic"/>
    <tableColumn id="4" name="Study Type"/>
    <tableColumn id="5" name="Time Spent Hours"/>
    <tableColumn id="6" name="Practice Score"/>
    <tableColumn id="7" name="Weak Area"/>
    <tableColumn id="8" name="Retest Needed?"/>
    <tableColumn id="9" name="Evidence Link"/>
    <tableColumn id="10" name="Status"/>
    <tableColumn id="11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choolRisk" displayName="SchoolRisk" ref="A1:K3" headerRowCount="1">
  <autoFilter ref="A1:K3"/>
  <tableColumns count="11">
    <tableColumn id="1" name="Date"/>
    <tableColumn id="2" name="Course"/>
    <tableColumn id="3" name="Current Risk"/>
    <tableColumn id="4" name="Next Deadline"/>
    <tableColumn id="5" name="Days Until Deadline"/>
    <tableColumn id="6" name="Required Output"/>
    <tableColumn id="7" name="Roadmap Mapping"/>
    <tableColumn id="8" name="Action This Week"/>
    <tableColumn id="9" name="Group Dependency?"/>
    <tableColumn id="10" name="Status"/>
    <tableColumn id="11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thlyReview" displayName="MonthlyReview" ref="A1:O2" headerRowCount="1">
  <autoFilter ref="A1:O2"/>
  <tableColumns count="15">
    <tableColumn id="1" name="Month"/>
    <tableColumn id="2" name="Roadmap Phase"/>
    <tableColumn id="3" name="Formal Explanation Quality"/>
    <tableColumn id="4" name="Evidence Quality"/>
    <tableColumn id="5" name="Debugging Discipline"/>
    <tableColumn id="6" name="Diagram Quality"/>
    <tableColumn id="7" name="Postmortem Quality"/>
    <tableColumn id="8" name="Certification Progress"/>
    <tableColumn id="9" name="Restraint From Tool Collecting"/>
    <tableColumn id="10" name="Average Score"/>
    <tableColumn id="11" name="Kill List Item"/>
    <tableColumn id="12" name="Best Artifact"/>
    <tableColumn id="13" name="Weakest Area"/>
    <tableColumn id="14" name="Decision for Next Month"/>
    <tableColumn id="15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ookupTable" displayName="LookupTable" ref="A1:B167" headerRowCount="1">
  <autoFilter ref="A1:B167"/>
  <tableColumns count="2">
    <tableColumn id="1" name="List Name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32" customWidth="1" min="7" max="7"/>
    <col width="18" customWidth="1" min="8" max="8"/>
  </cols>
  <sheetData>
    <row r="1">
      <c r="A1" s="1" t="inlineStr">
        <is>
          <t>DevSecOps Weekly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Measurement layer for Break -&gt; Measure -&gt; Fix -&gt; Document. Missing evidence means unfinished work.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Current Week Summary</t>
        </is>
      </c>
      <c r="B4" s="4" t="n"/>
      <c r="C4" s="4" t="n"/>
      <c r="D4" s="4" t="inlineStr">
        <is>
          <t>Roadmap Balance</t>
        </is>
      </c>
      <c r="E4" s="4" t="n"/>
      <c r="F4" s="4" t="n"/>
      <c r="G4" s="4" t="inlineStr">
        <is>
          <t>Status Cards</t>
        </is>
      </c>
      <c r="H4" s="4" t="n"/>
    </row>
    <row r="5">
      <c r="A5" s="2" t="inlineStr">
        <is>
          <t>Week Start</t>
        </is>
      </c>
      <c r="B5" s="5">
        <f>IFERROR(MAX('Daily Log'!$A$2:$A$501)-WEEKDAY(MAX('Daily Log'!$A$2:$A$501),2)+1,TODAY()-WEEKDAY(TODAY(),2)+1)</f>
        <v/>
      </c>
      <c r="C5" s="2" t="n"/>
      <c r="D5" s="2" t="inlineStr">
        <is>
          <t>Theory Mapping</t>
        </is>
      </c>
      <c r="E5" s="6">
        <f>IFERROR(SUMIFS('Daily Log'!$U:$U,'Daily Log'!$A:$A,"&gt;="&amp;$B$5,'Daily Log'!$A:$A,"&lt;="&amp;$B$6,'Daily Log'!$H:$H,D5),0)</f>
        <v/>
      </c>
      <c r="F5" s="2" t="n"/>
      <c r="G5" s="2" t="inlineStr">
        <is>
          <t>WIP Status</t>
        </is>
      </c>
      <c r="H5" s="2">
        <f>B20</f>
        <v/>
      </c>
    </row>
    <row r="6">
      <c r="A6" s="2" t="inlineStr">
        <is>
          <t>Week End</t>
        </is>
      </c>
      <c r="B6" s="5">
        <f>B5+6</f>
        <v/>
      </c>
      <c r="C6" s="2" t="n"/>
      <c r="D6" s="2" t="inlineStr">
        <is>
          <t>Build</t>
        </is>
      </c>
      <c r="E6" s="6">
        <f>IFERROR(SUMIFS('Daily Log'!$U:$U,'Daily Log'!$A:$A,"&gt;="&amp;$B$5,'Daily Log'!$A:$A,"&lt;="&amp;$B$6,'Daily Log'!$H:$H,D6),0)</f>
        <v/>
      </c>
      <c r="F6" s="2" t="n"/>
      <c r="G6" s="2" t="inlineStr">
        <is>
          <t>Evidence Status</t>
        </is>
      </c>
      <c r="H6" s="2">
        <f>IF(B12=0,"Missing",IF(B12&lt;2,"Low","OK"))</f>
        <v/>
      </c>
    </row>
    <row r="7">
      <c r="A7" s="2" t="inlineStr">
        <is>
          <t>Total Focus Hours</t>
        </is>
      </c>
      <c r="B7" s="6">
        <f>IFERROR(SUMIFS('Daily Log'!$U:$U,'Daily Log'!$A:$A,"&gt;="&amp;$B$5,'Daily Log'!$A:$A,"&lt;="&amp;$B$6),0)</f>
        <v/>
      </c>
      <c r="C7" s="2" t="n"/>
      <c r="D7" s="2" t="inlineStr">
        <is>
          <t>Break / Failure Injection</t>
        </is>
      </c>
      <c r="E7" s="6">
        <f>IFERROR(SUMIFS('Daily Log'!$U:$U,'Daily Log'!$A:$A,"&gt;="&amp;$B$5,'Daily Log'!$A:$A,"&lt;="&amp;$B$6,'Daily Log'!$H:$H,D7),0)</f>
        <v/>
      </c>
      <c r="F7" s="2" t="n"/>
      <c r="G7" s="2" t="inlineStr">
        <is>
          <t>School Risk</t>
        </is>
      </c>
      <c r="H7" s="2">
        <f>B19</f>
        <v/>
      </c>
    </row>
    <row r="8">
      <c r="A8" s="2" t="inlineStr">
        <is>
          <t>Homelab Hours</t>
        </is>
      </c>
      <c r="B8" s="6">
        <f>IFERROR(SUMIFS('Daily Log'!$U:$U,'Daily Log'!$A:$A,"&gt;="&amp;$B$5,'Daily Log'!$A:$A,"&lt;="&amp;$B$6,'Daily Log'!$I:$I,"&lt;&gt;University",'Daily Log'!$I:$I,"&lt;&gt;Certification",'Daily Log'!$H:$H,"&lt;&gt;Recovery"),0)</f>
        <v/>
      </c>
      <c r="C8" s="2" t="n"/>
      <c r="D8" s="2" t="inlineStr">
        <is>
          <t>Measure</t>
        </is>
      </c>
      <c r="E8" s="6">
        <f>IFERROR(SUMIFS('Daily Log'!$U:$U,'Daily Log'!$A:$A,"&gt;="&amp;$B$5,'Daily Log'!$A:$A,"&lt;="&amp;$B$6,'Daily Log'!$H:$H,D8),0)</f>
        <v/>
      </c>
      <c r="F8" s="2" t="n"/>
      <c r="G8" s="2" t="inlineStr">
        <is>
          <t>Chaos Mode</t>
        </is>
      </c>
      <c r="H8" s="2">
        <f>IF(B15&gt;0,"On",IF(B18&lt;6,"Watch","Off"))</f>
        <v/>
      </c>
    </row>
    <row r="9">
      <c r="A9" s="2" t="inlineStr">
        <is>
          <t>Certification Hours</t>
        </is>
      </c>
      <c r="B9" s="6">
        <f>IFERROR(SUMIFS('Daily Log'!$U:$U,'Daily Log'!$A:$A,"&gt;="&amp;$B$5,'Daily Log'!$A:$A,"&lt;="&amp;$B$6,'Daily Log'!$I:$I,"Certification"),0)</f>
        <v/>
      </c>
      <c r="C9" s="2" t="n"/>
      <c r="D9" s="2" t="inlineStr">
        <is>
          <t>Fix</t>
        </is>
      </c>
      <c r="E9" s="6">
        <f>IFERROR(SUMIFS('Daily Log'!$U:$U,'Daily Log'!$A:$A,"&gt;="&amp;$B$5,'Daily Log'!$A:$A,"&lt;="&amp;$B$6,'Daily Log'!$H:$H,D9),0)</f>
        <v/>
      </c>
      <c r="F9" s="2" t="n"/>
      <c r="G9" s="2" t="inlineStr">
        <is>
          <t>Weekly Review</t>
        </is>
      </c>
      <c r="H9" s="2">
        <f>B14</f>
        <v/>
      </c>
    </row>
    <row r="10">
      <c r="A10" s="2" t="inlineStr">
        <is>
          <t>University Hours</t>
        </is>
      </c>
      <c r="B10" s="6">
        <f>IFERROR(SUMIFS('Daily Log'!$U:$U,'Daily Log'!$A:$A,"&gt;="&amp;$B$5,'Daily Log'!$A:$A,"&lt;="&amp;$B$6,'Daily Log'!$I:$I,"University"),0)</f>
        <v/>
      </c>
      <c r="C10" s="2" t="n"/>
      <c r="D10" s="2" t="inlineStr">
        <is>
          <t>Document</t>
        </is>
      </c>
      <c r="E10" s="6">
        <f>IFERROR(SUMIFS('Daily Log'!$U:$U,'Daily Log'!$A:$A,"&gt;="&amp;$B$5,'Daily Log'!$A:$A,"&lt;="&amp;$B$6,'Daily Log'!$H:$H,D10),0)</f>
        <v/>
      </c>
      <c r="F10" s="2" t="n"/>
      <c r="G10" s="2" t="n"/>
      <c r="H10" s="2" t="n"/>
    </row>
    <row r="11">
      <c r="A11" s="2" t="inlineStr">
        <is>
          <t>Documentation Hours</t>
        </is>
      </c>
      <c r="B11" s="6">
        <f>IFERROR(SUMIFS('Daily Log'!$U:$U,'Daily Log'!$A:$A,"&gt;="&amp;$B$5,'Daily Log'!$A:$A,"&lt;="&amp;$B$6,'Daily Log'!$H:$H,"Document"),0)</f>
        <v/>
      </c>
      <c r="C11" s="2" t="n"/>
      <c r="D11" s="2" t="inlineStr">
        <is>
          <t>Certification Drill</t>
        </is>
      </c>
      <c r="E11" s="6">
        <f>IFERROR(SUMIFS('Daily Log'!$U:$U,'Daily Log'!$A:$A,"&gt;="&amp;$B$5,'Daily Log'!$A:$A,"&lt;="&amp;$B$6,'Daily Log'!$H:$H,D11),0)</f>
        <v/>
      </c>
      <c r="F11" s="2" t="n"/>
      <c r="G11" s="2" t="n"/>
      <c r="H11" s="2" t="n"/>
    </row>
    <row r="12">
      <c r="A12" s="2" t="inlineStr">
        <is>
          <t>Evidence Items Created</t>
        </is>
      </c>
      <c r="B12" s="2">
        <f>IFERROR(COUNTIFS('Daily Log'!$A:$A,"&gt;="&amp;$B$5,'Daily Log'!$A:$A,"&lt;="&amp;$B$6,'Daily Log'!$O:$O,"Yes")+COUNTIFS('Daily Log'!$A:$A,"&gt;="&amp;$B$5,'Daily Log'!$A:$A,"&lt;="&amp;$B$6,'Daily Log'!$O:$O,"Partial"),0)</f>
        <v/>
      </c>
      <c r="C12" s="2" t="n"/>
      <c r="D12" s="2" t="inlineStr">
        <is>
          <t>University Work</t>
        </is>
      </c>
      <c r="E12" s="6">
        <f>IFERROR(SUMIFS('Daily Log'!$U:$U,'Daily Log'!$A:$A,"&gt;="&amp;$B$5,'Daily Log'!$A:$A,"&lt;="&amp;$B$6,'Daily Log'!$H:$H,D12),0)</f>
        <v/>
      </c>
      <c r="F12" s="2" t="n"/>
      <c r="G12" s="2" t="inlineStr">
        <is>
          <t>Alerts</t>
        </is>
      </c>
      <c r="H12" s="2" t="n"/>
    </row>
    <row r="13">
      <c r="A13" s="2" t="inlineStr">
        <is>
          <t>Labs Completed</t>
        </is>
      </c>
      <c r="B13" s="2">
        <f>IFERROR(COUNTIFS('Daily Log'!$A:$A,"&gt;="&amp;$B$5,'Daily Log'!$A:$A,"&lt;="&amp;$B$6,'Daily Log'!$Z:$Z,"Done",'Daily Log'!$H:$H,"Build")+COUNTIFS('Daily Log'!$A:$A,"&gt;="&amp;$B$5,'Daily Log'!$A:$A,"&lt;="&amp;$B$6,'Daily Log'!$Z:$Z,"Done",'Daily Log'!$H:$H,"Break / Failure Injection")+COUNTIFS('Daily Log'!$A:$A,"&gt;="&amp;$B$5,'Daily Log'!$A:$A,"&lt;="&amp;$B$6,'Daily Log'!$Z:$Z,"Done",'Daily Log'!$H:$H,"Measure")+COUNTIFS('Daily Log'!$A:$A,"&gt;="&amp;$B$5,'Daily Log'!$A:$A,"&lt;="&amp;$B$6,'Daily Log'!$Z:$Z,"Done",'Daily Log'!$H:$H,"Fix")+COUNTIFS('Daily Log'!$A:$A,"&gt;="&amp;$B$5,'Daily Log'!$A:$A,"&lt;="&amp;$B$6,'Daily Log'!$Z:$Z,"Done",'Daily Log'!$H:$H,"Document"),0)</f>
        <v/>
      </c>
      <c r="C13" s="2" t="n"/>
      <c r="D13" s="2" t="inlineStr">
        <is>
          <t>Recovery</t>
        </is>
      </c>
      <c r="E13" s="6">
        <f>IFERROR(SUMIFS('Daily Log'!$U:$U,'Daily Log'!$A:$A,"&gt;="&amp;$B$5,'Daily Log'!$A:$A,"&lt;="&amp;$B$6,'Daily Log'!$H:$H,D13),0)</f>
        <v/>
      </c>
      <c r="F13" s="2" t="n"/>
      <c r="G13" s="2">
        <f>IF($B$17&lt;6,"Sleep debt risk","")</f>
        <v/>
      </c>
      <c r="H13" s="2" t="n"/>
    </row>
    <row r="14">
      <c r="A14" s="2" t="inlineStr">
        <is>
          <t>Review Gate Status</t>
        </is>
      </c>
      <c r="B14" s="2">
        <f>IFERROR(INDEX('Weekly Review'!$T$2:$T$501,MATCH($B$5,'Weekly Review'!$A$2:$A$501,0)),"Not Started")</f>
        <v/>
      </c>
      <c r="C14" s="2" t="n"/>
      <c r="D14" s="2" t="n"/>
      <c r="E14" s="2" t="n"/>
      <c r="F14" s="2" t="n"/>
      <c r="G14" s="2">
        <f>IF(AND($B$12=0,$B$7&gt;4),"Work without evidence","")</f>
        <v/>
      </c>
      <c r="H14" s="2" t="n"/>
    </row>
    <row r="15">
      <c r="A15" s="2" t="inlineStr">
        <is>
          <t>Chaos Mode Days</t>
        </is>
      </c>
      <c r="B15" s="2">
        <f>IFERROR(COUNTIFS('Chaos Mode'!$A:$A,"&gt;="&amp;$B$5,'Chaos Mode'!$A:$A,"&lt;="&amp;$B$6,'Chaos Mode'!$H:$H,"On"),0)</f>
        <v/>
      </c>
      <c r="C15" s="2" t="n"/>
      <c r="D15" s="2" t="n"/>
      <c r="E15" s="2" t="n"/>
      <c r="F15" s="2" t="n"/>
      <c r="G15" s="2">
        <f>IF($B$18="Red","Pause optional homelab failure injection","")</f>
        <v/>
      </c>
      <c r="H15" s="2" t="n"/>
    </row>
    <row r="16">
      <c r="A16" s="2" t="inlineStr">
        <is>
          <t>Average Energy</t>
        </is>
      </c>
      <c r="B16" s="6">
        <f>IFERROR(AVERAGEIFS('Daily Log'!$V:$V,'Daily Log'!$A:$A,"&gt;="&amp;$B$5,'Daily Log'!$A:$A,"&lt;="&amp;$B$6),0)</f>
        <v/>
      </c>
      <c r="C16" s="2" t="n"/>
      <c r="D16" s="2" t="n"/>
      <c r="E16" s="2" t="n"/>
      <c r="F16" s="2" t="n"/>
      <c r="G16" s="2">
        <f>IF($B$19="Violation","WIP limit violation","")</f>
        <v/>
      </c>
      <c r="H16" s="2" t="n"/>
    </row>
    <row r="17">
      <c r="A17" s="2" t="inlineStr">
        <is>
          <t>Average Sleep Hours</t>
        </is>
      </c>
      <c r="B17" s="6">
        <f>IFERROR(AVERAGEIFS('Daily Log'!$W:$W,'Daily Log'!$A:$A,"&gt;="&amp;$B$5,'Daily Log'!$A:$A,"&lt;="&amp;$B$6),0)</f>
        <v/>
      </c>
      <c r="C17" s="2" t="n"/>
      <c r="D17" s="2" t="n"/>
      <c r="E17" s="2" t="n"/>
      <c r="F17" s="2" t="n"/>
      <c r="G17" s="2">
        <f>IF($B$15&gt;0,"Use reduced scope","")</f>
        <v/>
      </c>
      <c r="H17" s="2" t="n"/>
    </row>
    <row r="18">
      <c r="A18" s="2" t="inlineStr">
        <is>
          <t>School Risk</t>
        </is>
      </c>
      <c r="B18" s="6">
        <f>IF(COUNTIFS('School Risk'!$A:$A,"&gt;="&amp;$B$5,'School Risk'!$A:$A,"&lt;="&amp;$B$6,'School Risk'!$C:$C,"Red")&gt;0,"Red",IF(COUNTIFS('School Risk'!$A:$A,"&gt;="&amp;$B$5,'School Risk'!$A:$A,"&lt;="&amp;$B$6,'School Risk'!$C:$C,"Yellow")&gt;0,"Yellow","Green"))</f>
        <v/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WIP Status</t>
        </is>
      </c>
      <c r="B19" s="2">
        <f>IFERROR(INDEX('WIP Limit'!$I$2:$I$501,MATCH(MAX('WIP Limit'!$A$2:$A$501),'WIP Limit'!$A$2:$A$501,0)),"OK")</f>
        <v/>
      </c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4" t="inlineStr">
        <is>
          <t>Weekly Review Questions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2" t="inlineStr">
        <is>
          <t>What did I break?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What did I measure?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What theory did I map it to?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What evidence did I produce?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What would a senior engineer reject as hand-wavy?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conditionalFormatting sqref="H5:H9">
    <cfRule type="expression" priority="1" dxfId="0">
      <formula>OR(H5="Violation",H5="Missing",H5="Red",H5="On",H5="Needs Fix")</formula>
    </cfRule>
    <cfRule type="expression" priority="2" dxfId="1">
      <formula>OR(H5="Warning",H5="Low",H5="Yellow",H5="Watch",H5="In Progress")</formula>
    </cfRule>
    <cfRule type="expression" priority="3" dxfId="2">
      <formula>OR(H5="OK",H5="Green",H5="Off",H5="Done")</formula>
    </cfRule>
  </conditionalFormatting>
  <conditionalFormatting sqref="G13:G17">
    <cfRule type="expression" priority="4" dxfId="3">
      <formula>G13&lt;&gt;""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16" customWidth="1" min="8" max="8"/>
    <col width="16" customWidth="1" min="9" max="9"/>
    <col width="26" customWidth="1" min="10" max="10"/>
    <col width="26" customWidth="1" min="11" max="11"/>
    <col width="38" customWidth="1" min="12" max="12"/>
    <col width="38" customWidth="1" min="13" max="13"/>
    <col width="38" customWidth="1" min="14" max="14"/>
    <col width="16" customWidth="1" min="15" max="15"/>
    <col width="38" customWidth="1" min="16" max="16"/>
    <col width="16" customWidth="1" min="17" max="17"/>
    <col width="16" customWidth="1" min="18" max="18"/>
    <col width="16" customWidth="1" min="19" max="19"/>
    <col width="3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38" customWidth="1" min="27" max="27"/>
    <col width="38" customWidth="1" min="28" max="28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Week Number</t>
        </is>
      </c>
      <c r="D1" s="7" t="inlineStr">
        <is>
          <t>Month</t>
        </is>
      </c>
      <c r="E1" s="7" t="inlineStr">
        <is>
          <t>Roadmap Phase</t>
        </is>
      </c>
      <c r="F1" s="7" t="inlineStr">
        <is>
          <t>Quarter</t>
        </is>
      </c>
      <c r="G1" s="7" t="inlineStr">
        <is>
          <t>Task Title</t>
        </is>
      </c>
      <c r="H1" s="7" t="inlineStr">
        <is>
          <t>Task Type</t>
        </is>
      </c>
      <c r="I1" s="7" t="inlineStr">
        <is>
          <t>Category</t>
        </is>
      </c>
      <c r="J1" s="7" t="inlineStr">
        <is>
          <t>System / Project</t>
        </is>
      </c>
      <c r="K1" s="7" t="inlineStr">
        <is>
          <t>Formal Concept</t>
        </is>
      </c>
      <c r="L1" s="7" t="inlineStr">
        <is>
          <t>Hypothesis / Goal</t>
        </is>
      </c>
      <c r="M1" s="7" t="inlineStr">
        <is>
          <t>Action Taken</t>
        </is>
      </c>
      <c r="N1" s="7" t="inlineStr">
        <is>
          <t>Result</t>
        </is>
      </c>
      <c r="O1" s="7" t="inlineStr">
        <is>
          <t>Evidence Produced?</t>
        </is>
      </c>
      <c r="P1" s="7" t="inlineStr">
        <is>
          <t>Evidence Link / Path</t>
        </is>
      </c>
      <c r="Q1" s="7" t="inlineStr">
        <is>
          <t>Break?</t>
        </is>
      </c>
      <c r="R1" s="7" t="inlineStr">
        <is>
          <t>Measure?</t>
        </is>
      </c>
      <c r="S1" s="7" t="inlineStr">
        <is>
          <t>Fix?</t>
        </is>
      </c>
      <c r="T1" s="7" t="inlineStr">
        <is>
          <t>Document?</t>
        </is>
      </c>
      <c r="U1" s="7" t="inlineStr">
        <is>
          <t>Time Spent Hours</t>
        </is>
      </c>
      <c r="V1" s="7" t="inlineStr">
        <is>
          <t>Energy Level</t>
        </is>
      </c>
      <c r="W1" s="7" t="inlineStr">
        <is>
          <t>Sleep Hours</t>
        </is>
      </c>
      <c r="X1" s="7" t="inlineStr">
        <is>
          <t>School Risk Level</t>
        </is>
      </c>
      <c r="Y1" s="7" t="inlineStr">
        <is>
          <t>Chaos Mode?</t>
        </is>
      </c>
      <c r="Z1" s="7" t="inlineStr">
        <is>
          <t>Status</t>
        </is>
      </c>
      <c r="AA1" s="7" t="inlineStr">
        <is>
          <t>Notes</t>
        </is>
      </c>
      <c r="AB1" s="7" t="inlineStr">
        <is>
          <t>Next Action</t>
        </is>
      </c>
    </row>
    <row r="2">
      <c r="A2" s="8" t="n">
        <v>46167</v>
      </c>
      <c r="B2" s="9">
        <f>IF(A2="","",TEXT(A2,"dddd"))</f>
        <v/>
      </c>
      <c r="C2" s="9">
        <f>IF(A2="","",WEEKNUM(A2,2))</f>
        <v/>
      </c>
      <c r="D2" s="9">
        <f>IF(A2="","",TEXT(A2,"mmmm"))</f>
        <v/>
      </c>
      <c r="E2" s="9" t="inlineStr">
        <is>
          <t>Q1 Network and OS</t>
        </is>
      </c>
      <c r="F2" s="9">
        <f>IFERROR(IF(ISNUMBER(SEARCH("Q1",E2)),"Q1",IF(ISNUMBER(SEARCH("Q2",E2)),"Q2",IF(ISNUMBER(SEARCH("Q3",E2)),"Q3",IF(ISNUMBER(SEARCH("Q4",E2)),"Q4",IF(E2="School-Heavy Mode","School","N/A"))))),"N/A")</f>
        <v/>
      </c>
      <c r="G2" s="9" t="inlineStr">
        <is>
          <t>Map VLAN and packet path</t>
        </is>
      </c>
      <c r="H2" s="9" t="inlineStr">
        <is>
          <t>Theory Mapping</t>
        </is>
      </c>
      <c r="I2" s="9" t="inlineStr">
        <is>
          <t>Networking</t>
        </is>
      </c>
      <c r="J2" s="9" t="inlineStr">
        <is>
          <t>VyOS / Router</t>
        </is>
      </c>
      <c r="K2" s="9" t="inlineStr">
        <is>
          <t>VLAN trunking, 802.1Q, broadcast domain</t>
        </is>
      </c>
      <c r="L2" s="9" t="inlineStr">
        <is>
          <t>Explain where tags appear and where routing begins.</t>
        </is>
      </c>
      <c r="M2" s="9" t="inlineStr">
        <is>
          <t>Mapped client -&gt; switch -&gt; VyOS subinterface -&gt; service path.</t>
        </is>
      </c>
      <c r="N2" s="9" t="inlineStr">
        <is>
          <t>Theory note drafted with packet path diagram stub.</t>
        </is>
      </c>
      <c r="O2" s="9" t="inlineStr">
        <is>
          <t>Partial</t>
        </is>
      </c>
      <c r="P2" s="9" t="inlineStr">
        <is>
          <t>E:\Roadmaps\evidence\2026-05-25-vlan-packet-path.md</t>
        </is>
      </c>
      <c r="Q2" s="9" t="inlineStr">
        <is>
          <t>No</t>
        </is>
      </c>
      <c r="R2" s="9" t="inlineStr">
        <is>
          <t>Yes</t>
        </is>
      </c>
      <c r="S2" s="9" t="inlineStr">
        <is>
          <t>No</t>
        </is>
      </c>
      <c r="T2" s="9" t="inlineStr">
        <is>
          <t>Yes</t>
        </is>
      </c>
      <c r="U2" s="10" t="n">
        <v>1.5</v>
      </c>
      <c r="V2" s="9" t="n">
        <v>4</v>
      </c>
      <c r="W2" s="10" t="n">
        <v>7</v>
      </c>
      <c r="X2" s="9" t="inlineStr">
        <is>
          <t>Green</t>
        </is>
      </c>
      <c r="Y2" s="9" t="inlineStr">
        <is>
          <t>No</t>
        </is>
      </c>
      <c r="Z2" s="9" t="inlineStr">
        <is>
          <t>Done</t>
        </is>
      </c>
      <c r="AA2" s="9" t="inlineStr">
        <is>
          <t>Keep terms formal; avoid analogy-only explanation.</t>
        </is>
      </c>
      <c r="AB2" s="9" t="inlineStr">
        <is>
          <t>Add tcpdump evidence</t>
        </is>
      </c>
    </row>
    <row r="3">
      <c r="A3" s="8" t="n">
        <v>46168</v>
      </c>
      <c r="B3" s="9">
        <f>IF(A3="","",TEXT(A3,"dddd"))</f>
        <v/>
      </c>
      <c r="C3" s="9">
        <f>IF(A3="","",WEEKNUM(A3,2))</f>
        <v/>
      </c>
      <c r="D3" s="9">
        <f>IF(A3="","",TEXT(A3,"mmmm"))</f>
        <v/>
      </c>
      <c r="E3" s="9" t="inlineStr">
        <is>
          <t>Q1 Network and OS</t>
        </is>
      </c>
      <c r="F3" s="9">
        <f>IFERROR(IF(ISNUMBER(SEARCH("Q1",E3)),"Q1",IF(ISNUMBER(SEARCH("Q2",E3)),"Q2",IF(ISNUMBER(SEARCH("Q3",E3)),"Q3",IF(ISNUMBER(SEARCH("Q4",E3)),"Q4",IF(E3="School-Heavy Mode","School","N/A"))))),"N/A")</f>
        <v/>
      </c>
      <c r="G3" s="9" t="inlineStr">
        <is>
          <t>Break wrong default gateway</t>
        </is>
      </c>
      <c r="H3" s="9" t="inlineStr">
        <is>
          <t>Break / Failure Injection</t>
        </is>
      </c>
      <c r="I3" s="9" t="inlineStr">
        <is>
          <t>Networking</t>
        </is>
      </c>
      <c r="J3" s="9" t="inlineStr">
        <is>
          <t>Proxmox</t>
        </is>
      </c>
      <c r="K3" s="9" t="inlineStr">
        <is>
          <t>Default route and L3 forwarding</t>
        </is>
      </c>
      <c r="L3" s="9" t="inlineStr">
        <is>
          <t>A wrong gateway should fail off-subnet traffic while local subnet still works.</t>
        </is>
      </c>
      <c r="M3" s="9" t="inlineStr">
        <is>
          <t>Changed one test VM gateway during controlled window.</t>
        </is>
      </c>
      <c r="N3" s="9" t="inlineStr">
        <is>
          <t>Off-subnet ping failed; local ARP still visible.</t>
        </is>
      </c>
      <c r="O3" s="9" t="inlineStr">
        <is>
          <t>Yes</t>
        </is>
      </c>
      <c r="P3" s="9" t="inlineStr">
        <is>
          <t>E:\Roadmaps\evidence\2026-05-26-wrong-gw-transcript.txt</t>
        </is>
      </c>
      <c r="Q3" s="9" t="inlineStr">
        <is>
          <t>Yes</t>
        </is>
      </c>
      <c r="R3" s="9" t="inlineStr">
        <is>
          <t>Yes</t>
        </is>
      </c>
      <c r="S3" s="9" t="inlineStr">
        <is>
          <t>No</t>
        </is>
      </c>
      <c r="T3" s="9" t="inlineStr">
        <is>
          <t>No</t>
        </is>
      </c>
      <c r="U3" s="10" t="n">
        <v>2</v>
      </c>
      <c r="V3" s="9" t="n">
        <v>3</v>
      </c>
      <c r="W3" s="10" t="n">
        <v>6.5</v>
      </c>
      <c r="X3" s="9" t="inlineStr">
        <is>
          <t>Green</t>
        </is>
      </c>
      <c r="Y3" s="9" t="inlineStr">
        <is>
          <t>No</t>
        </is>
      </c>
      <c r="Z3" s="9" t="inlineStr">
        <is>
          <t>Done</t>
        </is>
      </c>
      <c r="AA3" s="9" t="inlineStr">
        <is>
          <t>Rollback path verified before starting.</t>
        </is>
      </c>
      <c r="AB3" s="9" t="inlineStr">
        <is>
          <t>Measure route and packet capture</t>
        </is>
      </c>
    </row>
    <row r="4">
      <c r="A4" s="8" t="n">
        <v>46169</v>
      </c>
      <c r="B4" s="9">
        <f>IF(A4="","",TEXT(A4,"dddd"))</f>
        <v/>
      </c>
      <c r="C4" s="9">
        <f>IF(A4="","",WEEKNUM(A4,2))</f>
        <v/>
      </c>
      <c r="D4" s="9">
        <f>IF(A4="","",TEXT(A4,"mmmm"))</f>
        <v/>
      </c>
      <c r="E4" s="9" t="inlineStr">
        <is>
          <t>Q1 Network and OS</t>
        </is>
      </c>
      <c r="F4" s="9">
        <f>IFERROR(IF(ISNUMBER(SEARCH("Q1",E4)),"Q1",IF(ISNUMBER(SEARCH("Q2",E4)),"Q2",IF(ISNUMBER(SEARCH("Q3",E4)),"Q3",IF(ISNUMBER(SEARCH("Q4",E4)),"Q4",IF(E4="School-Heavy Mode","School","N/A"))))),"N/A")</f>
        <v/>
      </c>
      <c r="G4" s="9" t="inlineStr">
        <is>
          <t>Measure wrong gateway behavior</t>
        </is>
      </c>
      <c r="H4" s="9" t="inlineStr">
        <is>
          <t>Measure</t>
        </is>
      </c>
      <c r="I4" s="9" t="inlineStr">
        <is>
          <t>Networking</t>
        </is>
      </c>
      <c r="J4" s="9" t="inlineStr">
        <is>
          <t>VyOS / Router</t>
        </is>
      </c>
      <c r="K4" s="9" t="inlineStr">
        <is>
          <t>Routing table lookup</t>
        </is>
      </c>
      <c r="L4" s="9" t="inlineStr">
        <is>
          <t>ip route, traceroute, and tcpdump should identify the selected next hop.</t>
        </is>
      </c>
      <c r="M4" s="9" t="inlineStr">
        <is>
          <t>Captured ip route, traceroute, ARP table, and tcpdump.</t>
        </is>
      </c>
      <c r="N4" s="9" t="inlineStr">
        <is>
          <t>Evidence shows traffic selected the wrong next hop.</t>
        </is>
      </c>
      <c r="O4" s="9" t="inlineStr">
        <is>
          <t>Yes</t>
        </is>
      </c>
      <c r="P4" s="9" t="inlineStr">
        <is>
          <t>E:\Roadmaps\evidence\2026-05-27-route-measurement.md</t>
        </is>
      </c>
      <c r="Q4" s="9" t="inlineStr">
        <is>
          <t>No</t>
        </is>
      </c>
      <c r="R4" s="9" t="inlineStr">
        <is>
          <t>Yes</t>
        </is>
      </c>
      <c r="S4" s="9" t="inlineStr">
        <is>
          <t>No</t>
        </is>
      </c>
      <c r="T4" s="9" t="inlineStr">
        <is>
          <t>Partial</t>
        </is>
      </c>
      <c r="U4" s="10" t="n">
        <v>2.5</v>
      </c>
      <c r="V4" s="9" t="n">
        <v>3</v>
      </c>
      <c r="W4" s="10" t="n">
        <v>6</v>
      </c>
      <c r="X4" s="9" t="inlineStr">
        <is>
          <t>Yellow</t>
        </is>
      </c>
      <c r="Y4" s="9" t="inlineStr">
        <is>
          <t>No</t>
        </is>
      </c>
      <c r="Z4" s="9" t="inlineStr">
        <is>
          <t>Done</t>
        </is>
      </c>
      <c r="AA4" s="9" t="inlineStr">
        <is>
          <t>Measurement layer is proof, not dashboard decoration.</t>
        </is>
      </c>
      <c r="AB4" s="9" t="inlineStr">
        <is>
          <t>Fix config and compare</t>
        </is>
      </c>
    </row>
    <row r="5">
      <c r="A5" s="8" t="n">
        <v>46170</v>
      </c>
      <c r="B5" s="9">
        <f>IF(A5="","",TEXT(A5,"dddd"))</f>
        <v/>
      </c>
      <c r="C5" s="9">
        <f>IF(A5="","",WEEKNUM(A5,2))</f>
        <v/>
      </c>
      <c r="D5" s="9">
        <f>IF(A5="","",TEXT(A5,"mmmm"))</f>
        <v/>
      </c>
      <c r="E5" s="9" t="inlineStr">
        <is>
          <t>Q1 Network and OS</t>
        </is>
      </c>
      <c r="F5" s="9">
        <f>IFERROR(IF(ISNUMBER(SEARCH("Q1",E5)),"Q1",IF(ISNUMBER(SEARCH("Q2",E5)),"Q2",IF(ISNUMBER(SEARCH("Q3",E5)),"Q3",IF(ISNUMBER(SEARCH("Q4",E5)),"Q4",IF(E5="School-Heavy Mode","School","N/A"))))),"N/A")</f>
        <v/>
      </c>
      <c r="G5" s="9" t="inlineStr">
        <is>
          <t>Fix routing config</t>
        </is>
      </c>
      <c r="H5" s="9" t="inlineStr">
        <is>
          <t>Fix</t>
        </is>
      </c>
      <c r="I5" s="9" t="inlineStr">
        <is>
          <t>Networking</t>
        </is>
      </c>
      <c r="J5" s="9" t="inlineStr">
        <is>
          <t>VyOS / Router</t>
        </is>
      </c>
      <c r="K5" s="9" t="inlineStr">
        <is>
          <t>Default route restoration</t>
        </is>
      </c>
      <c r="L5" s="9" t="inlineStr">
        <is>
          <t>Restoring correct gateway should restore off-subnet path.</t>
        </is>
      </c>
      <c r="M5" s="9" t="inlineStr">
        <is>
          <t>Restored gateway and compared route/traceroute output.</t>
        </is>
      </c>
      <c r="N5" s="9" t="inlineStr">
        <is>
          <t>Connectivity restored and route path matched expected gateway.</t>
        </is>
      </c>
      <c r="O5" s="9" t="inlineStr">
        <is>
          <t>Yes</t>
        </is>
      </c>
      <c r="P5" s="9" t="inlineStr">
        <is>
          <t>E:\Roadmaps\evidence\2026-05-28-routing-fix-diff.md</t>
        </is>
      </c>
      <c r="Q5" s="9" t="inlineStr">
        <is>
          <t>No</t>
        </is>
      </c>
      <c r="R5" s="9" t="inlineStr">
        <is>
          <t>Yes</t>
        </is>
      </c>
      <c r="S5" s="9" t="inlineStr">
        <is>
          <t>Yes</t>
        </is>
      </c>
      <c r="T5" s="9" t="inlineStr">
        <is>
          <t>Partial</t>
        </is>
      </c>
      <c r="U5" s="10" t="n">
        <v>1.5</v>
      </c>
      <c r="V5" s="9" t="n">
        <v>4</v>
      </c>
      <c r="W5" s="10" t="n">
        <v>7.5</v>
      </c>
      <c r="X5" s="9" t="inlineStr">
        <is>
          <t>Green</t>
        </is>
      </c>
      <c r="Y5" s="9" t="inlineStr">
        <is>
          <t>No</t>
        </is>
      </c>
      <c r="Z5" s="9" t="inlineStr">
        <is>
          <t>Done</t>
        </is>
      </c>
      <c r="AA5" s="9" t="inlineStr">
        <is>
          <t>Fix is only accepted because before/after output exists.</t>
        </is>
      </c>
      <c r="AB5" s="9" t="inlineStr">
        <is>
          <t>Write lab report</t>
        </is>
      </c>
    </row>
    <row r="6">
      <c r="A6" s="8" t="n">
        <v>46171</v>
      </c>
      <c r="B6" s="9">
        <f>IF(A6="","",TEXT(A6,"dddd"))</f>
        <v/>
      </c>
      <c r="C6" s="9">
        <f>IF(A6="","",WEEKNUM(A6,2))</f>
        <v/>
      </c>
      <c r="D6" s="9">
        <f>IF(A6="","",TEXT(A6,"mmmm"))</f>
        <v/>
      </c>
      <c r="E6" s="9" t="inlineStr">
        <is>
          <t>Q1 Network and OS</t>
        </is>
      </c>
      <c r="F6" s="9">
        <f>IFERROR(IF(ISNUMBER(SEARCH("Q1",E6)),"Q1",IF(ISNUMBER(SEARCH("Q2",E6)),"Q2",IF(ISNUMBER(SEARCH("Q3",E6)),"Q3",IF(ISNUMBER(SEARCH("Q4",E6)),"Q4",IF(E6="School-Heavy Mode","School","N/A"))))),"N/A")</f>
        <v/>
      </c>
      <c r="G6" s="9" t="inlineStr">
        <is>
          <t>Document gateway postmortem</t>
        </is>
      </c>
      <c r="H6" s="9" t="inlineStr">
        <is>
          <t>Document</t>
        </is>
      </c>
      <c r="I6" s="9" t="inlineStr">
        <is>
          <t>Documentation</t>
        </is>
      </c>
      <c r="J6" s="9" t="inlineStr">
        <is>
          <t>VyOS / Router</t>
        </is>
      </c>
      <c r="K6" s="9" t="inlineStr">
        <is>
          <t>Incident postmortem and route selection</t>
        </is>
      </c>
      <c r="L6" s="9" t="inlineStr">
        <is>
          <t>A reader should reproduce the failure and understand root cause.</t>
        </is>
      </c>
      <c r="M6" s="9" t="inlineStr">
        <is>
          <t>Wrote lab report/postmortem with commands, result, limitation.</t>
        </is>
      </c>
      <c r="N6" s="9" t="inlineStr">
        <is>
          <t>Level 2 lab report created.</t>
        </is>
      </c>
      <c r="O6" s="9" t="inlineStr">
        <is>
          <t>Yes</t>
        </is>
      </c>
      <c r="P6" s="9" t="inlineStr">
        <is>
          <t>E:\Roadmaps\evidence\lab-reports\wrong-default-gateway.md</t>
        </is>
      </c>
      <c r="Q6" s="9" t="inlineStr">
        <is>
          <t>N/A</t>
        </is>
      </c>
      <c r="R6" s="9" t="inlineStr">
        <is>
          <t>Yes</t>
        </is>
      </c>
      <c r="S6" s="9" t="inlineStr">
        <is>
          <t>Yes</t>
        </is>
      </c>
      <c r="T6" s="9" t="inlineStr">
        <is>
          <t>Yes</t>
        </is>
      </c>
      <c r="U6" s="10" t="n">
        <v>2</v>
      </c>
      <c r="V6" s="9" t="n">
        <v>4</v>
      </c>
      <c r="W6" s="10" t="n">
        <v>7</v>
      </c>
      <c r="X6" s="9" t="inlineStr">
        <is>
          <t>Green</t>
        </is>
      </c>
      <c r="Y6" s="9" t="inlineStr">
        <is>
          <t>No</t>
        </is>
      </c>
      <c r="Z6" s="9" t="inlineStr">
        <is>
          <t>Done</t>
        </is>
      </c>
      <c r="AA6" s="9" t="inlineStr">
        <is>
          <t>Senior review risk: need cleaner topology diagram.</t>
        </is>
      </c>
      <c r="AB6" s="9" t="inlineStr">
        <is>
          <t>Queue diagram cleanup</t>
        </is>
      </c>
    </row>
    <row r="7">
      <c r="A7" s="8" t="n">
        <v>46172</v>
      </c>
      <c r="B7" s="9">
        <f>IF(A7="","",TEXT(A7,"dddd"))</f>
        <v/>
      </c>
      <c r="C7" s="9">
        <f>IF(A7="","",WEEKNUM(A7,2))</f>
        <v/>
      </c>
      <c r="D7" s="9">
        <f>IF(A7="","",TEXT(A7,"mmmm"))</f>
        <v/>
      </c>
      <c r="E7" s="9" t="inlineStr">
        <is>
          <t>Q1 Network and OS</t>
        </is>
      </c>
      <c r="F7" s="9">
        <f>IFERROR(IF(ISNUMBER(SEARCH("Q1",E7)),"Q1",IF(ISNUMBER(SEARCH("Q2",E7)),"Q2",IF(ISNUMBER(SEARCH("Q3",E7)),"Q3",IF(ISNUMBER(SEARCH("Q4",E7)),"Q4",IF(E7="School-Heavy Mode","School","N/A"))))),"N/A")</f>
        <v/>
      </c>
      <c r="G7" s="9" t="inlineStr">
        <is>
          <t>CCNA subnetting and routing drill</t>
        </is>
      </c>
      <c r="H7" s="9" t="inlineStr">
        <is>
          <t>Certification Drill</t>
        </is>
      </c>
      <c r="I7" s="9" t="inlineStr">
        <is>
          <t>Certification</t>
        </is>
      </c>
      <c r="J7" s="9" t="inlineStr">
        <is>
          <t>Other</t>
        </is>
      </c>
      <c r="K7" s="9" t="inlineStr">
        <is>
          <t>Subnetting, static routing, ACL basics</t>
        </is>
      </c>
      <c r="L7" s="9" t="inlineStr">
        <is>
          <t>Timed drill should expose weak routing topics.</t>
        </is>
      </c>
      <c r="M7" s="9" t="inlineStr">
        <is>
          <t>Completed timed practice block and reviewed misses.</t>
        </is>
      </c>
      <c r="N7" s="9" t="inlineStr">
        <is>
          <t>Weak topics listed for retest.</t>
        </is>
      </c>
      <c r="O7" s="9" t="inlineStr">
        <is>
          <t>Partial</t>
        </is>
      </c>
      <c r="P7" s="9" t="inlineStr">
        <is>
          <t>E:\Roadmaps\evidence\cert\ccna-2026-05-30.md</t>
        </is>
      </c>
      <c r="Q7" s="9" t="inlineStr">
        <is>
          <t>No</t>
        </is>
      </c>
      <c r="R7" s="9" t="inlineStr">
        <is>
          <t>No</t>
        </is>
      </c>
      <c r="S7" s="9" t="inlineStr">
        <is>
          <t>No</t>
        </is>
      </c>
      <c r="T7" s="9" t="inlineStr">
        <is>
          <t>Yes</t>
        </is>
      </c>
      <c r="U7" s="10" t="n">
        <v>2</v>
      </c>
      <c r="V7" s="9" t="n">
        <v>3</v>
      </c>
      <c r="W7" s="10" t="n">
        <v>6.5</v>
      </c>
      <c r="X7" s="9" t="inlineStr">
        <is>
          <t>Green</t>
        </is>
      </c>
      <c r="Y7" s="9" t="inlineStr">
        <is>
          <t>No</t>
        </is>
      </c>
      <c r="Z7" s="9" t="inlineStr">
        <is>
          <t>Done</t>
        </is>
      </c>
      <c r="AA7" s="9" t="inlineStr">
        <is>
          <t>Subnetting speed is acceptable; ACL order needs review.</t>
        </is>
      </c>
      <c r="AB7" s="9" t="inlineStr">
        <is>
          <t>Retest ACL questions</t>
        </is>
      </c>
    </row>
    <row r="8">
      <c r="A8" s="8" t="n">
        <v>46173</v>
      </c>
      <c r="B8" s="9">
        <f>IF(A8="","",TEXT(A8,"dddd"))</f>
        <v/>
      </c>
      <c r="C8" s="9">
        <f>IF(A8="","",WEEKNUM(A8,2))</f>
        <v/>
      </c>
      <c r="D8" s="9">
        <f>IF(A8="","",TEXT(A8,"mmmm"))</f>
        <v/>
      </c>
      <c r="E8" s="9" t="inlineStr">
        <is>
          <t>Q1 Network and OS</t>
        </is>
      </c>
      <c r="F8" s="9">
        <f>IFERROR(IF(ISNUMBER(SEARCH("Q1",E8)),"Q1",IF(ISNUMBER(SEARCH("Q2",E8)),"Q2",IF(ISNUMBER(SEARCH("Q3",E8)),"Q3",IF(ISNUMBER(SEARCH("Q4",E8)),"Q4",IF(E8="School-Heavy Mode","School","N/A"))))),"N/A")</f>
        <v/>
      </c>
      <c r="G8" s="9" t="inlineStr">
        <is>
          <t>Weekly review and university architecture mapping</t>
        </is>
      </c>
      <c r="H8" s="9" t="inlineStr">
        <is>
          <t>Review</t>
        </is>
      </c>
      <c r="I8" s="9" t="inlineStr">
        <is>
          <t>University</t>
        </is>
      </c>
      <c r="J8" s="9" t="inlineStr">
        <is>
          <t>student-feedback-system</t>
        </is>
      </c>
      <c r="K8" s="9" t="inlineStr">
        <is>
          <t>C4 context and packet path</t>
        </is>
      </c>
      <c r="L8" s="9" t="inlineStr">
        <is>
          <t>Review should reject hand-wavy claims and pick next week scope.</t>
        </is>
      </c>
      <c r="M8" s="9" t="inlineStr">
        <is>
          <t>Answered five review gate questions and mapped school architecture artifact.</t>
        </is>
      </c>
      <c r="N8" s="9" t="inlineStr">
        <is>
          <t>Weekly review ready with best evidence link.</t>
        </is>
      </c>
      <c r="O8" s="9" t="inlineStr">
        <is>
          <t>Yes</t>
        </is>
      </c>
      <c r="P8" s="9" t="inlineStr">
        <is>
          <t>E:\Roadmaps\evidence\weekly\2026-W22-review.md</t>
        </is>
      </c>
      <c r="Q8" s="9" t="inlineStr">
        <is>
          <t>N/A</t>
        </is>
      </c>
      <c r="R8" s="9" t="inlineStr">
        <is>
          <t>Yes</t>
        </is>
      </c>
      <c r="S8" s="9" t="inlineStr">
        <is>
          <t>N/A</t>
        </is>
      </c>
      <c r="T8" s="9" t="inlineStr">
        <is>
          <t>Yes</t>
        </is>
      </c>
      <c r="U8" s="10" t="n">
        <v>1.5</v>
      </c>
      <c r="V8" s="9" t="n">
        <v>4</v>
      </c>
      <c r="W8" s="10" t="n">
        <v>8</v>
      </c>
      <c r="X8" s="9" t="inlineStr">
        <is>
          <t>Green</t>
        </is>
      </c>
      <c r="Y8" s="9" t="inlineStr">
        <is>
          <t>No</t>
        </is>
      </c>
      <c r="Z8" s="9" t="inlineStr">
        <is>
          <t>Done</t>
        </is>
      </c>
      <c r="AA8" s="9" t="inlineStr">
        <is>
          <t>No new tool collecting; next week continues Q1 evidence cleanup.</t>
        </is>
      </c>
      <c r="AB8" s="9" t="inlineStr">
        <is>
          <t>Start next theory note</t>
        </is>
      </c>
    </row>
  </sheetData>
  <conditionalFormatting sqref="A2:AB501">
    <cfRule type="expression" priority="1" dxfId="0">
      <formula>AND($O2="No",$U2&gt;=2)</formula>
    </cfRule>
    <cfRule type="expression" priority="2" dxfId="0">
      <formula>$X2="Red"</formula>
    </cfRule>
    <cfRule type="expression" priority="3" dxfId="1">
      <formula>$X2="Yellow"</formula>
    </cfRule>
    <cfRule type="expression" priority="4" dxfId="3">
      <formula>$Y2="Yes"</formula>
    </cfRule>
    <cfRule type="expression" priority="5" dxfId="2">
      <formula>$Z2="Done"</formula>
    </cfRule>
    <cfRule type="expression" priority="6" dxfId="0">
      <formula>$Z2="Blocked"</formula>
    </cfRule>
  </conditionalFormatting>
  <conditionalFormatting sqref="V2:V501">
    <cfRule type="cellIs" priority="7" operator="lessThanOrEqual" dxfId="3">
      <formula>2</formula>
    </cfRule>
  </conditionalFormatting>
  <conditionalFormatting sqref="W2:W501">
    <cfRule type="cellIs" priority="8" operator="lessThan" dxfId="0">
      <formula>6</formula>
    </cfRule>
  </conditionalFormatting>
  <dataValidations count="13">
    <dataValidation sqref="E2:E501" showDropDown="0" showInputMessage="0" showErrorMessage="0" allowBlank="1" type="list">
      <formula1>=RoadmapPhase</formula1>
    </dataValidation>
    <dataValidation sqref="H2:H501" showDropDown="0" showInputMessage="0" showErrorMessage="0" allowBlank="1" type="list">
      <formula1>=TaskType</formula1>
    </dataValidation>
    <dataValidation sqref="I2:I501" showDropDown="0" showInputMessage="0" showErrorMessage="0" allowBlank="1" type="list">
      <formula1>=Category</formula1>
    </dataValidation>
    <dataValidation sqref="J2:J501" showDropDown="0" showInputMessage="0" showErrorMessage="0" allowBlank="1" type="list">
      <formula1>=SystemProject</formula1>
    </dataValidation>
    <dataValidation sqref="O2:O501" showDropDown="0" showInputMessage="0" showErrorMessage="0" allowBlank="1" type="list">
      <formula1>=EvidenceProduced</formula1>
    </dataValidation>
    <dataValidation sqref="Q2:Q501" showDropDown="0" showInputMessage="0" showErrorMessage="0" allowBlank="1" type="list">
      <formula1>=YesNoNA</formula1>
    </dataValidation>
    <dataValidation sqref="R2:R501" showDropDown="0" showInputMessage="0" showErrorMessage="0" allowBlank="1" type="list">
      <formula1>=YesNoNA</formula1>
    </dataValidation>
    <dataValidation sqref="S2:S501" showDropDown="0" showInputMessage="0" showErrorMessage="0" allowBlank="1" type="list">
      <formula1>=YesNoNA</formula1>
    </dataValidation>
    <dataValidation sqref="T2:T501" showDropDown="0" showInputMessage="0" showErrorMessage="0" allowBlank="1" type="list">
      <formula1>=YesNoNA</formula1>
    </dataValidation>
    <dataValidation sqref="V2:V501" showDropDown="0" showInputMessage="0" showErrorMessage="0" allowBlank="1" type="list">
      <formula1>=EnergyLevel</formula1>
    </dataValidation>
    <dataValidation sqref="X2:X501" showDropDown="0" showInputMessage="0" showErrorMessage="0" allowBlank="1" type="list">
      <formula1>=SchoolRiskLevel</formula1>
    </dataValidation>
    <dataValidation sqref="Y2:Y501" showDropDown="0" showInputMessage="0" showErrorMessage="0" allowBlank="1" type="list">
      <formula1>=YesNo</formula1>
    </dataValidation>
    <dataValidation sqref="Z2:Z501" showDropDown="0" showInputMessage="0" showErrorMessage="0" allowBlank="1" type="list">
      <formula1>=Status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7" t="inlineStr">
        <is>
          <t>Week Start</t>
        </is>
      </c>
      <c r="B1" s="7" t="inlineStr">
        <is>
          <t>Week End</t>
        </is>
      </c>
      <c r="C1" s="7" t="inlineStr">
        <is>
          <t>Main Roadmap Phase</t>
        </is>
      </c>
      <c r="D1" s="7" t="inlineStr">
        <is>
          <t>Weekly Theme</t>
        </is>
      </c>
      <c r="E1" s="7" t="inlineStr">
        <is>
          <t>What did I break?</t>
        </is>
      </c>
      <c r="F1" s="7" t="inlineStr">
        <is>
          <t>What did I measure?</t>
        </is>
      </c>
      <c r="G1" s="7" t="inlineStr">
        <is>
          <t>What theory did I map it to?</t>
        </is>
      </c>
      <c r="H1" s="7" t="inlineStr">
        <is>
          <t>What evidence did I produce?</t>
        </is>
      </c>
      <c r="I1" s="7" t="inlineStr">
        <is>
          <t>What would a senior engineer reject as hand-wavy?</t>
        </is>
      </c>
      <c r="J1" s="7" t="inlineStr">
        <is>
          <t>Best Evidence Link</t>
        </is>
      </c>
      <c r="K1" s="7" t="inlineStr">
        <is>
          <t>Lab Report Link</t>
        </is>
      </c>
      <c r="L1" s="7" t="inlineStr">
        <is>
          <t>Postmortem Link</t>
        </is>
      </c>
      <c r="M1" s="7" t="inlineStr">
        <is>
          <t>ADR Link</t>
        </is>
      </c>
      <c r="N1" s="7" t="inlineStr">
        <is>
          <t>Total Focus Hours</t>
        </is>
      </c>
      <c r="O1" s="7" t="inlineStr">
        <is>
          <t>Evidence Count</t>
        </is>
      </c>
      <c r="P1" s="7" t="inlineStr">
        <is>
          <t>Labs Completed</t>
        </is>
      </c>
      <c r="Q1" s="7" t="inlineStr">
        <is>
          <t>Certification Progress</t>
        </is>
      </c>
      <c r="R1" s="7" t="inlineStr">
        <is>
          <t>School Risk Summary</t>
        </is>
      </c>
      <c r="S1" s="7" t="inlineStr">
        <is>
          <t>Chaos Mode Triggered?</t>
        </is>
      </c>
      <c r="T1" s="7" t="inlineStr">
        <is>
          <t>Review Status</t>
        </is>
      </c>
      <c r="U1" s="7" t="inlineStr">
        <is>
          <t>Decision for Next Week</t>
        </is>
      </c>
    </row>
    <row r="2">
      <c r="A2" s="8" t="n">
        <v>46167</v>
      </c>
      <c r="B2" s="8" t="n">
        <v>46173</v>
      </c>
      <c r="C2" s="9" t="inlineStr">
        <is>
          <t>Q1 Network and OS</t>
        </is>
      </c>
      <c r="D2" s="9" t="inlineStr">
        <is>
          <t>Wrong default gateway: break, measure, fix, document</t>
        </is>
      </c>
      <c r="E2" s="9" t="inlineStr">
        <is>
          <t>Changed a test VM default gateway.</t>
        </is>
      </c>
      <c r="F2" s="9" t="inlineStr">
        <is>
          <t>ip route, traceroute, ARP, tcpdump, route diff.</t>
        </is>
      </c>
      <c r="G2" s="9" t="inlineStr">
        <is>
          <t>Default route behavior, L3 forwarding, longest prefix match.</t>
        </is>
      </c>
      <c r="H2" s="9" t="inlineStr">
        <is>
          <t>Command transcript, route output, lab report, weekly review note.</t>
        </is>
      </c>
      <c r="I2" s="9" t="inlineStr">
        <is>
          <t>Topology diagram still needs clearer gateway/subnet labels.</t>
        </is>
      </c>
      <c r="J2" s="9" t="inlineStr">
        <is>
          <t>E:\Roadmaps\evidence\weekly\2026-W22-review.md</t>
        </is>
      </c>
      <c r="K2" s="9" t="inlineStr">
        <is>
          <t>E:\Roadmaps\evidence\lab-reports\wrong-default-gateway.md</t>
        </is>
      </c>
      <c r="L2" s="9" t="inlineStr">
        <is>
          <t>E:\Roadmaps\evidence\postmortems\wrong-default-gateway.md</t>
        </is>
      </c>
      <c r="M2" s="9" t="inlineStr"/>
      <c r="N2" s="9">
        <f>IFERROR(SUMIFS('Daily Log'!$U:$U,'Daily Log'!$A:$A,"&gt;="&amp;A2,'Daily Log'!$A:$A,"&lt;="&amp;B2),0)</f>
        <v/>
      </c>
      <c r="O2" s="9">
        <f>IFERROR(COUNTIFS('Daily Log'!$A:$A,"&gt;="&amp;A2,'Daily Log'!$A:$A,"&lt;="&amp;B2,'Daily Log'!$O:$O,"Yes")+COUNTIFS('Daily Log'!$A:$A,"&gt;="&amp;A2,'Daily Log'!$A:$A,"&lt;="&amp;B2,'Daily Log'!$O:$O,"Partial"),0)</f>
        <v/>
      </c>
      <c r="P2" s="9">
        <f>IFERROR(COUNTIFS('Daily Log'!$A:$A,"&gt;="&amp;A2,'Daily Log'!$A:$A,"&lt;="&amp;B2,'Daily Log'!$Z:$Z,"Done",'Daily Log'!$H:$H,"Build")+COUNTIFS('Daily Log'!$A:$A,"&gt;="&amp;A2,'Daily Log'!$A:$A,"&lt;="&amp;B2,'Daily Log'!$Z:$Z,"Done",'Daily Log'!$H:$H,"Break / Failure Injection")+COUNTIFS('Daily Log'!$A:$A,"&gt;="&amp;A2,'Daily Log'!$A:$A,"&lt;="&amp;B2,'Daily Log'!$Z:$Z,"Done",'Daily Log'!$H:$H,"Measure")+COUNTIFS('Daily Log'!$A:$A,"&gt;="&amp;A2,'Daily Log'!$A:$A,"&lt;="&amp;B2,'Daily Log'!$Z:$Z,"Done",'Daily Log'!$H:$H,"Fix")+COUNTIFS('Daily Log'!$A:$A,"&gt;="&amp;A2,'Daily Log'!$A:$A,"&lt;="&amp;B2,'Daily Log'!$Z:$Z,"Done",'Daily Log'!$H:$H,"Document"),0)</f>
        <v/>
      </c>
      <c r="Q2" s="9" t="inlineStr">
        <is>
          <t>CCNA ACL order weak area found</t>
        </is>
      </c>
      <c r="R2" s="9" t="inlineStr">
        <is>
          <t>Green; no blocking deadline</t>
        </is>
      </c>
      <c r="S2" s="9" t="inlineStr">
        <is>
          <t>No</t>
        </is>
      </c>
      <c r="T2" s="9" t="inlineStr">
        <is>
          <t>Done</t>
        </is>
      </c>
      <c r="U2" s="9" t="inlineStr">
        <is>
          <t>Continue</t>
        </is>
      </c>
    </row>
  </sheetData>
  <conditionalFormatting sqref="A2:U501">
    <cfRule type="expression" priority="1" dxfId="0">
      <formula>$T2="Needs Fix"</formula>
    </cfRule>
    <cfRule type="expression" priority="2" dxfId="2">
      <formula>$T2="Done"</formula>
    </cfRule>
  </conditionalFormatting>
  <dataValidations count="4">
    <dataValidation sqref="S2:S501" showDropDown="0" showInputMessage="0" showErrorMessage="0" allowBlank="1" type="list">
      <formula1>=YesNo</formula1>
    </dataValidation>
    <dataValidation sqref="T2:T501" showDropDown="0" showInputMessage="0" showErrorMessage="0" allowBlank="1" type="list">
      <formula1>=ReviewStatus</formula1>
    </dataValidation>
    <dataValidation sqref="U2:U501" showDropDown="0" showInputMessage="0" showErrorMessage="0" allowBlank="1" type="list">
      <formula1>=DecisionNextWeek</formula1>
    </dataValidation>
    <dataValidation sqref="C2:C501" showDropDown="0" showInputMessage="0" showErrorMessage="0" allowBlank="1" type="list">
      <formula1>=RoadmapPhase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38" customWidth="1" min="7" max="7"/>
    <col width="26" customWidth="1" min="8" max="8"/>
    <col width="26" customWidth="1" min="9" max="9"/>
    <col width="38" customWidth="1" min="10" max="10"/>
    <col width="38" customWidth="1" min="11" max="11"/>
    <col width="16" customWidth="1" min="12" max="12"/>
    <col width="16" customWidth="1" min="13" max="13"/>
    <col width="16" customWidth="1" min="14" max="14"/>
    <col width="38" customWidth="1" min="15" max="15"/>
  </cols>
  <sheetData>
    <row r="1">
      <c r="A1" s="7" t="inlineStr">
        <is>
          <t>Evidence ID</t>
        </is>
      </c>
      <c r="B1" s="7" t="inlineStr">
        <is>
          <t>Date</t>
        </is>
      </c>
      <c r="C1" s="7" t="inlineStr">
        <is>
          <t>Related Task</t>
        </is>
      </c>
      <c r="D1" s="7" t="inlineStr">
        <is>
          <t>Roadmap Phase</t>
        </is>
      </c>
      <c r="E1" s="7" t="inlineStr">
        <is>
          <t>Evidence Type</t>
        </is>
      </c>
      <c r="F1" s="7" t="inlineStr">
        <is>
          <t>Evidence Level</t>
        </is>
      </c>
      <c r="G1" s="7" t="inlineStr">
        <is>
          <t>File / Link / Path</t>
        </is>
      </c>
      <c r="H1" s="7" t="inlineStr">
        <is>
          <t>System / Project</t>
        </is>
      </c>
      <c r="I1" s="7" t="inlineStr">
        <is>
          <t>Formal Concept</t>
        </is>
      </c>
      <c r="J1" s="7" t="inlineStr">
        <is>
          <t>What It Proves</t>
        </is>
      </c>
      <c r="K1" s="7" t="inlineStr">
        <is>
          <t>What It Does Not Prove</t>
        </is>
      </c>
      <c r="L1" s="7" t="inlineStr">
        <is>
          <t>Needs Cleanup?</t>
        </is>
      </c>
      <c r="M1" s="7" t="inlineStr">
        <is>
          <t>Portfolio Candidate?</t>
        </is>
      </c>
      <c r="N1" s="7" t="inlineStr">
        <is>
          <t>Status</t>
        </is>
      </c>
      <c r="O1" s="7" t="inlineStr">
        <is>
          <t>Notes</t>
        </is>
      </c>
    </row>
    <row r="2">
      <c r="A2" s="9" t="inlineStr">
        <is>
          <t>EV-20260525-001</t>
        </is>
      </c>
      <c r="B2" s="8" t="n">
        <v>46167</v>
      </c>
      <c r="C2" s="9" t="inlineStr">
        <is>
          <t>Map VLAN and packet path</t>
        </is>
      </c>
      <c r="D2" s="9" t="inlineStr">
        <is>
          <t>Q1 Network and OS</t>
        </is>
      </c>
      <c r="E2" s="9" t="inlineStr">
        <is>
          <t>Diagram</t>
        </is>
      </c>
      <c r="F2" s="9" t="inlineStr">
        <is>
          <t>Level 1 Clean Observation</t>
        </is>
      </c>
      <c r="G2" s="9" t="inlineStr">
        <is>
          <t>E:\Roadmaps\evidence\2026-05-25-vlan-packet-path.md</t>
        </is>
      </c>
      <c r="H2" s="9" t="inlineStr">
        <is>
          <t>VyOS / Router</t>
        </is>
      </c>
      <c r="I2" s="9" t="inlineStr">
        <is>
          <t>802.1Q tagging</t>
        </is>
      </c>
      <c r="J2" s="9" t="inlineStr">
        <is>
          <t>Where frames remain L2 and where routing begins.</t>
        </is>
      </c>
      <c r="K2" s="9" t="inlineStr">
        <is>
          <t>It does not prove live packet counters.</t>
        </is>
      </c>
      <c r="L2" s="9" t="inlineStr">
        <is>
          <t>Yes</t>
        </is>
      </c>
      <c r="M2" s="9" t="inlineStr">
        <is>
          <t>No</t>
        </is>
      </c>
      <c r="N2" s="9" t="inlineStr">
        <is>
          <t>Cleaned</t>
        </is>
      </c>
      <c r="O2" s="9" t="inlineStr">
        <is>
          <t>Add capture later.</t>
        </is>
      </c>
    </row>
    <row r="3">
      <c r="A3" s="9" t="inlineStr">
        <is>
          <t>EV-20260526-001</t>
        </is>
      </c>
      <c r="B3" s="8" t="n">
        <v>46168</v>
      </c>
      <c r="C3" s="9" t="inlineStr">
        <is>
          <t>Break wrong default gateway</t>
        </is>
      </c>
      <c r="D3" s="9" t="inlineStr">
        <is>
          <t>Q1 Network and OS</t>
        </is>
      </c>
      <c r="E3" s="9" t="inlineStr">
        <is>
          <t>Command Transcript</t>
        </is>
      </c>
      <c r="F3" s="9" t="inlineStr">
        <is>
          <t>Level 0 Raw</t>
        </is>
      </c>
      <c r="G3" s="9" t="inlineStr">
        <is>
          <t>E:\Roadmaps\evidence\2026-05-26-wrong-gw-transcript.txt</t>
        </is>
      </c>
      <c r="H3" s="9" t="inlineStr">
        <is>
          <t>Proxmox</t>
        </is>
      </c>
      <c r="I3" s="9" t="inlineStr">
        <is>
          <t>Default route</t>
        </is>
      </c>
      <c r="J3" s="9" t="inlineStr">
        <is>
          <t>Wrong gateway changes selected next hop.</t>
        </is>
      </c>
      <c r="K3" s="9" t="inlineStr">
        <is>
          <t>It does not prove all VLAN paths.</t>
        </is>
      </c>
      <c r="L3" s="9" t="inlineStr">
        <is>
          <t>Yes</t>
        </is>
      </c>
      <c r="M3" s="9" t="inlineStr">
        <is>
          <t>No</t>
        </is>
      </c>
      <c r="N3" s="9" t="inlineStr">
        <is>
          <t>Raw</t>
        </is>
      </c>
      <c r="O3" s="9" t="inlineStr">
        <is>
          <t>Cleanup needed.</t>
        </is>
      </c>
    </row>
    <row r="4">
      <c r="A4" s="9" t="inlineStr">
        <is>
          <t>EV-20260527-001</t>
        </is>
      </c>
      <c r="B4" s="8" t="n">
        <v>46169</v>
      </c>
      <c r="C4" s="9" t="inlineStr">
        <is>
          <t>Measure wrong gateway behavior</t>
        </is>
      </c>
      <c r="D4" s="9" t="inlineStr">
        <is>
          <t>Q1 Network and OS</t>
        </is>
      </c>
      <c r="E4" s="9" t="inlineStr">
        <is>
          <t>Packet Capture</t>
        </is>
      </c>
      <c r="F4" s="9" t="inlineStr">
        <is>
          <t>Level 1 Clean Observation</t>
        </is>
      </c>
      <c r="G4" s="9" t="inlineStr">
        <is>
          <t>E:\Roadmaps\evidence\2026-05-27-route-measurement.md</t>
        </is>
      </c>
      <c r="H4" s="9" t="inlineStr">
        <is>
          <t>VyOS / Router</t>
        </is>
      </c>
      <c r="I4" s="9" t="inlineStr">
        <is>
          <t>Routing lookup</t>
        </is>
      </c>
      <c r="J4" s="9" t="inlineStr">
        <is>
          <t>Traceroute and tcpdump identify the failure point.</t>
        </is>
      </c>
      <c r="K4" s="9" t="inlineStr">
        <is>
          <t>It does not prove application health.</t>
        </is>
      </c>
      <c r="L4" s="9" t="inlineStr">
        <is>
          <t>No</t>
        </is>
      </c>
      <c r="M4" s="9" t="inlineStr">
        <is>
          <t>No</t>
        </is>
      </c>
      <c r="N4" s="9" t="inlineStr">
        <is>
          <t>Linked to Report</t>
        </is>
      </c>
      <c r="O4" s="9" t="inlineStr"/>
    </row>
    <row r="5">
      <c r="A5" s="9" t="inlineStr">
        <is>
          <t>EV-20260528-001</t>
        </is>
      </c>
      <c r="B5" s="8" t="n">
        <v>46170</v>
      </c>
      <c r="C5" s="9" t="inlineStr">
        <is>
          <t>Fix routing config</t>
        </is>
      </c>
      <c r="D5" s="9" t="inlineStr">
        <is>
          <t>Q1 Network and OS</t>
        </is>
      </c>
      <c r="E5" s="9" t="inlineStr">
        <is>
          <t>Config Diff</t>
        </is>
      </c>
      <c r="F5" s="9" t="inlineStr">
        <is>
          <t>Level 1 Clean Observation</t>
        </is>
      </c>
      <c r="G5" s="9" t="inlineStr">
        <is>
          <t>E:\Roadmaps\evidence\2026-05-28-routing-fix-diff.md</t>
        </is>
      </c>
      <c r="H5" s="9" t="inlineStr">
        <is>
          <t>VyOS / Router</t>
        </is>
      </c>
      <c r="I5" s="9" t="inlineStr">
        <is>
          <t>Gateway restore</t>
        </is>
      </c>
      <c r="J5" s="9" t="inlineStr">
        <is>
          <t>Before/after config caused recovery.</t>
        </is>
      </c>
      <c r="K5" s="9" t="inlineStr">
        <is>
          <t>It does not prove long-term stability.</t>
        </is>
      </c>
      <c r="L5" s="9" t="inlineStr">
        <is>
          <t>No</t>
        </is>
      </c>
      <c r="M5" s="9" t="inlineStr">
        <is>
          <t>No</t>
        </is>
      </c>
      <c r="N5" s="9" t="inlineStr">
        <is>
          <t>Reviewed</t>
        </is>
      </c>
      <c r="O5" s="9" t="inlineStr"/>
    </row>
    <row r="6">
      <c r="A6" s="9" t="inlineStr">
        <is>
          <t>EV-20260529-001</t>
        </is>
      </c>
      <c r="B6" s="8" t="n">
        <v>46171</v>
      </c>
      <c r="C6" s="9" t="inlineStr">
        <is>
          <t>Document gateway postmortem</t>
        </is>
      </c>
      <c r="D6" s="9" t="inlineStr">
        <is>
          <t>Q1 Network and OS</t>
        </is>
      </c>
      <c r="E6" s="9" t="inlineStr">
        <is>
          <t>Lab Report</t>
        </is>
      </c>
      <c r="F6" s="9" t="inlineStr">
        <is>
          <t>Level 2 Lab Report</t>
        </is>
      </c>
      <c r="G6" s="9" t="inlineStr">
        <is>
          <t>E:\Roadmaps\evidence\lab-reports\wrong-default-gateway.md</t>
        </is>
      </c>
      <c r="H6" s="9" t="inlineStr">
        <is>
          <t>VyOS / Router</t>
        </is>
      </c>
      <c r="I6" s="9" t="inlineStr">
        <is>
          <t>Incident documentation</t>
        </is>
      </c>
      <c r="J6" s="9" t="inlineStr">
        <is>
          <t>Failure is reproducible and explainable.</t>
        </is>
      </c>
      <c r="K6" s="9" t="inlineStr">
        <is>
          <t>Diagram still needs polish.</t>
        </is>
      </c>
      <c r="L6" s="9" t="inlineStr">
        <is>
          <t>No</t>
        </is>
      </c>
      <c r="M6" s="9" t="inlineStr">
        <is>
          <t>Yes</t>
        </is>
      </c>
      <c r="N6" s="9" t="inlineStr">
        <is>
          <t>Reviewed</t>
        </is>
      </c>
      <c r="O6" s="9" t="inlineStr">
        <is>
          <t>Candidate for portfolio after diagram cleanup.</t>
        </is>
      </c>
    </row>
  </sheetData>
  <conditionalFormatting sqref="A2:O501">
    <cfRule type="expression" priority="1" dxfId="1">
      <formula>AND($F2="Level 0 Raw",$N2&lt;&gt;"Reviewed")</formula>
    </cfRule>
    <cfRule type="expression" priority="2" dxfId="4">
      <formula>$M2="Yes"</formula>
    </cfRule>
    <cfRule type="expression" priority="3" dxfId="3">
      <formula>$L2="Yes"</formula>
    </cfRule>
  </conditionalFormatting>
  <dataValidations count="7">
    <dataValidation sqref="D2:D501" showDropDown="0" showInputMessage="0" showErrorMessage="0" allowBlank="1" type="list">
      <formula1>=RoadmapPhase</formula1>
    </dataValidation>
    <dataValidation sqref="E2:E501" showDropDown="0" showInputMessage="0" showErrorMessage="0" allowBlank="1" type="list">
      <formula1>=EvidenceType</formula1>
    </dataValidation>
    <dataValidation sqref="F2:F501" showDropDown="0" showInputMessage="0" showErrorMessage="0" allowBlank="1" type="list">
      <formula1>=EvidenceLevel</formula1>
    </dataValidation>
    <dataValidation sqref="H2:H501" showDropDown="0" showInputMessage="0" showErrorMessage="0" allowBlank="1" type="list">
      <formula1>=SystemProject</formula1>
    </dataValidation>
    <dataValidation sqref="L2:L501" showDropDown="0" showInputMessage="0" showErrorMessage="0" allowBlank="1" type="list">
      <formula1>=YesNo</formula1>
    </dataValidation>
    <dataValidation sqref="M2:M501" showDropDown="0" showInputMessage="0" showErrorMessage="0" allowBlank="1" type="list">
      <formula1>=YesNo</formula1>
    </dataValidation>
    <dataValidation sqref="N2:N501" showDropDown="0" showInputMessage="0" showErrorMessage="0" allowBlank="1" type="list">
      <formula1>=EvidenceQueueStatus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6" customWidth="1" min="4" max="4"/>
    <col width="16" customWidth="1" min="5" max="5"/>
    <col width="38" customWidth="1" min="6" max="6"/>
    <col width="16" customWidth="1" min="7" max="7"/>
    <col width="16" customWidth="1" min="8" max="8"/>
    <col width="16" customWidth="1" min="9" max="9"/>
    <col width="38" customWidth="1" min="10" max="10"/>
    <col width="38" customWidth="1" min="11" max="11"/>
  </cols>
  <sheetData>
    <row r="1">
      <c r="A1" s="7" t="inlineStr">
        <is>
          <t>Date</t>
        </is>
      </c>
      <c r="B1" s="7" t="inlineStr">
        <is>
          <t>Active University Deliverable</t>
        </is>
      </c>
      <c r="C1" s="7" t="inlineStr">
        <is>
          <t>University Status</t>
        </is>
      </c>
      <c r="D1" s="7" t="inlineStr">
        <is>
          <t>Active Certification Track</t>
        </is>
      </c>
      <c r="E1" s="7" t="inlineStr">
        <is>
          <t>Certification Status</t>
        </is>
      </c>
      <c r="F1" s="7" t="inlineStr">
        <is>
          <t>Active Homelab Experiment / Document</t>
        </is>
      </c>
      <c r="G1" s="7" t="inlineStr">
        <is>
          <t>Homelab Status</t>
        </is>
      </c>
      <c r="H1" s="7" t="inlineStr">
        <is>
          <t>Total Active Items</t>
        </is>
      </c>
      <c r="I1" s="7" t="inlineStr">
        <is>
          <t>WIP Limit Status</t>
        </is>
      </c>
      <c r="J1" s="7" t="inlineStr">
        <is>
          <t>Action Required</t>
        </is>
      </c>
      <c r="K1" s="7" t="inlineStr">
        <is>
          <t>Notes</t>
        </is>
      </c>
    </row>
    <row r="2">
      <c r="A2" s="8" t="n">
        <v>46167</v>
      </c>
      <c r="B2" s="9" t="inlineStr">
        <is>
          <t>None</t>
        </is>
      </c>
      <c r="C2" s="9" t="inlineStr">
        <is>
          <t>None</t>
        </is>
      </c>
      <c r="D2" s="9" t="inlineStr">
        <is>
          <t>CCNA</t>
        </is>
      </c>
      <c r="E2" s="9" t="inlineStr">
        <is>
          <t>Active</t>
        </is>
      </c>
      <c r="F2" s="9" t="inlineStr">
        <is>
          <t>wrong-default-gateway lab</t>
        </is>
      </c>
      <c r="G2" s="9" t="inlineStr">
        <is>
          <t>Active</t>
        </is>
      </c>
      <c r="H2" s="9">
        <f>COUNTIF(C2:G2,"Active")+COUNTIF(C2:G2,"Blocked")</f>
        <v/>
      </c>
      <c r="I2" s="9">
        <f>IF(H2&gt;3,"Violation",IF(H2=3,"Warning","OK"))</f>
        <v/>
      </c>
      <c r="J2" s="9">
        <f>IF(COUNTIFS('School Risk'!$A:$A,A2,'School Risk'!$C:$C,"Red")&gt;0,"Finish School Work First",IF(I2="Violation","Drop Optional Task",IF(I2="Warning","Documentation Only","Continue")))</f>
        <v/>
      </c>
      <c r="K2" s="9" t="inlineStr">
        <is>
          <t>One cert track and one homelab item active.</t>
        </is>
      </c>
    </row>
    <row r="3">
      <c r="A3" s="8" t="n">
        <v>46168</v>
      </c>
      <c r="B3" s="9" t="inlineStr">
        <is>
          <t>None</t>
        </is>
      </c>
      <c r="C3" s="9" t="inlineStr">
        <is>
          <t>None</t>
        </is>
      </c>
      <c r="D3" s="9" t="inlineStr">
        <is>
          <t>CCNA</t>
        </is>
      </c>
      <c r="E3" s="9" t="inlineStr">
        <is>
          <t>Active</t>
        </is>
      </c>
      <c r="F3" s="9" t="inlineStr">
        <is>
          <t>wrong-default-gateway lab</t>
        </is>
      </c>
      <c r="G3" s="9" t="inlineStr">
        <is>
          <t>Active</t>
        </is>
      </c>
      <c r="H3" s="9">
        <f>COUNTIF(C3:G3,"Active")+COUNTIF(C3:G3,"Blocked")</f>
        <v/>
      </c>
      <c r="I3" s="9">
        <f>IF(H3&gt;3,"Violation",IF(H3=3,"Warning","OK"))</f>
        <v/>
      </c>
      <c r="J3" s="9">
        <f>IF(COUNTIFS('School Risk'!$A:$A,A3,'School Risk'!$C:$C,"Red")&gt;0,"Finish School Work First",IF(I3="Violation","Drop Optional Task",IF(I3="Warning","Documentation Only","Continue")))</f>
        <v/>
      </c>
      <c r="K3" s="9" t="inlineStr">
        <is>
          <t>Within WIP limit.</t>
        </is>
      </c>
    </row>
    <row r="4">
      <c r="A4" s="8" t="n">
        <v>46169</v>
      </c>
      <c r="B4" s="9" t="inlineStr">
        <is>
          <t>Architecture mapping note</t>
        </is>
      </c>
      <c r="C4" s="9" t="inlineStr">
        <is>
          <t>Planned</t>
        </is>
      </c>
      <c r="D4" s="9" t="inlineStr">
        <is>
          <t>CCNA</t>
        </is>
      </c>
      <c r="E4" s="9" t="inlineStr">
        <is>
          <t>Active</t>
        </is>
      </c>
      <c r="F4" s="9" t="inlineStr">
        <is>
          <t>wrong-default-gateway lab</t>
        </is>
      </c>
      <c r="G4" s="9" t="inlineStr">
        <is>
          <t>Active</t>
        </is>
      </c>
      <c r="H4" s="9">
        <f>COUNTIF(C4:G4,"Active")+COUNTIF(C4:G4,"Blocked")</f>
        <v/>
      </c>
      <c r="I4" s="9">
        <f>IF(H4&gt;3,"Violation",IF(H4=3,"Warning","OK"))</f>
        <v/>
      </c>
      <c r="J4" s="9">
        <f>IF(COUNTIFS('School Risk'!$A:$A,A4,'School Risk'!$C:$C,"Red")&gt;0,"Finish School Work First",IF(I4="Violation","Drop Optional Task",IF(I4="Warning","Documentation Only","Continue")))</f>
        <v/>
      </c>
      <c r="K4" s="9" t="inlineStr">
        <is>
          <t>University item planned but not active.</t>
        </is>
      </c>
    </row>
    <row r="5">
      <c r="A5" s="8" t="n">
        <v>46170</v>
      </c>
      <c r="B5" s="9" t="inlineStr">
        <is>
          <t>Architecture mapping note</t>
        </is>
      </c>
      <c r="C5" s="9" t="inlineStr">
        <is>
          <t>Planned</t>
        </is>
      </c>
      <c r="D5" s="9" t="inlineStr">
        <is>
          <t>CCNA</t>
        </is>
      </c>
      <c r="E5" s="9" t="inlineStr">
        <is>
          <t>Active</t>
        </is>
      </c>
      <c r="F5" s="9" t="inlineStr">
        <is>
          <t>routing fix</t>
        </is>
      </c>
      <c r="G5" s="9" t="inlineStr">
        <is>
          <t>Active</t>
        </is>
      </c>
      <c r="H5" s="9">
        <f>COUNTIF(C5:G5,"Active")+COUNTIF(C5:G5,"Blocked")</f>
        <v/>
      </c>
      <c r="I5" s="9">
        <f>IF(H5&gt;3,"Violation",IF(H5=3,"Warning","OK"))</f>
        <v/>
      </c>
      <c r="J5" s="9">
        <f>IF(COUNTIFS('School Risk'!$A:$A,A5,'School Risk'!$C:$C,"Red")&gt;0,"Finish School Work First",IF(I5="Violation","Drop Optional Task",IF(I5="Warning","Documentation Only","Continue")))</f>
        <v/>
      </c>
      <c r="K5" s="9" t="inlineStr"/>
    </row>
    <row r="6">
      <c r="A6" s="8" t="n">
        <v>46171</v>
      </c>
      <c r="B6" s="9" t="inlineStr">
        <is>
          <t>Architecture mapping note</t>
        </is>
      </c>
      <c r="C6" s="9" t="inlineStr">
        <is>
          <t>Planned</t>
        </is>
      </c>
      <c r="D6" s="9" t="inlineStr">
        <is>
          <t>CCNA</t>
        </is>
      </c>
      <c r="E6" s="9" t="inlineStr">
        <is>
          <t>Active</t>
        </is>
      </c>
      <c r="F6" s="9" t="inlineStr">
        <is>
          <t>gateway lab report</t>
        </is>
      </c>
      <c r="G6" s="9" t="inlineStr">
        <is>
          <t>Active</t>
        </is>
      </c>
      <c r="H6" s="9">
        <f>COUNTIF(C6:G6,"Active")+COUNTIF(C6:G6,"Blocked")</f>
        <v/>
      </c>
      <c r="I6" s="9">
        <f>IF(H6&gt;3,"Violation",IF(H6=3,"Warning","OK"))</f>
        <v/>
      </c>
      <c r="J6" s="9">
        <f>IF(COUNTIFS('School Risk'!$A:$A,A6,'School Risk'!$C:$C,"Red")&gt;0,"Finish School Work First",IF(I6="Violation","Drop Optional Task",IF(I6="Warning","Documentation Only","Continue")))</f>
        <v/>
      </c>
      <c r="K6" s="9" t="inlineStr">
        <is>
          <t>Documentation counts as homelab document.</t>
        </is>
      </c>
    </row>
    <row r="7">
      <c r="A7" s="8" t="n">
        <v>46172</v>
      </c>
      <c r="B7" s="9" t="inlineStr">
        <is>
          <t>None</t>
        </is>
      </c>
      <c r="C7" s="9" t="inlineStr">
        <is>
          <t>None</t>
        </is>
      </c>
      <c r="D7" s="9" t="inlineStr">
        <is>
          <t>CCNA</t>
        </is>
      </c>
      <c r="E7" s="9" t="inlineStr">
        <is>
          <t>Active</t>
        </is>
      </c>
      <c r="F7" s="9" t="inlineStr">
        <is>
          <t>gateway lab report</t>
        </is>
      </c>
      <c r="G7" s="9" t="inlineStr">
        <is>
          <t>Paused</t>
        </is>
      </c>
      <c r="H7" s="9">
        <f>COUNTIF(C7:G7,"Active")+COUNTIF(C7:G7,"Blocked")</f>
        <v/>
      </c>
      <c r="I7" s="9">
        <f>IF(H7&gt;3,"Violation",IF(H7=3,"Warning","OK"))</f>
        <v/>
      </c>
      <c r="J7" s="9">
        <f>IF(COUNTIFS('School Risk'!$A:$A,A7,'School Risk'!$C:$C,"Red")&gt;0,"Finish School Work First",IF(I7="Violation","Drop Optional Task",IF(I7="Warning","Documentation Only","Continue")))</f>
        <v/>
      </c>
      <c r="K7" s="9" t="inlineStr">
        <is>
          <t>Certification block only.</t>
        </is>
      </c>
    </row>
    <row r="8">
      <c r="A8" s="8" t="n">
        <v>46173</v>
      </c>
      <c r="B8" s="9" t="inlineStr">
        <is>
          <t>Architecture mapping note</t>
        </is>
      </c>
      <c r="C8" s="9" t="inlineStr">
        <is>
          <t>Active</t>
        </is>
      </c>
      <c r="D8" s="9" t="inlineStr">
        <is>
          <t>CCNA</t>
        </is>
      </c>
      <c r="E8" s="9" t="inlineStr">
        <is>
          <t>Active</t>
        </is>
      </c>
      <c r="F8" s="9" t="inlineStr">
        <is>
          <t>weekly review</t>
        </is>
      </c>
      <c r="G8" s="9" t="inlineStr">
        <is>
          <t>Active</t>
        </is>
      </c>
      <c r="H8" s="9">
        <f>COUNTIF(C8:G8,"Active")+COUNTIF(C8:G8,"Blocked")</f>
        <v/>
      </c>
      <c r="I8" s="9">
        <f>IF(H8&gt;3,"Violation",IF(H8=3,"Warning","OK"))</f>
        <v/>
      </c>
      <c r="J8" s="9">
        <f>IF(COUNTIFS('School Risk'!$A:$A,A8,'School Risk'!$C:$C,"Red")&gt;0,"Finish School Work First",IF(I8="Violation","Drop Optional Task",IF(I8="Warning","Documentation Only","Continue")))</f>
        <v/>
      </c>
      <c r="K8" s="9" t="inlineStr">
        <is>
          <t>Watch context switching.</t>
        </is>
      </c>
    </row>
  </sheetData>
  <conditionalFormatting sqref="A2:K501">
    <cfRule type="expression" priority="1" dxfId="0">
      <formula>$I2="Violation"</formula>
    </cfRule>
    <cfRule type="expression" priority="2" dxfId="1">
      <formula>$I2="Warning"</formula>
    </cfRule>
    <cfRule type="expression" priority="3" dxfId="2">
      <formula>$I2="OK"</formula>
    </cfRule>
  </conditionalFormatting>
  <dataValidations count="5">
    <dataValidation sqref="C2:C501" showDropDown="0" showInputMessage="0" showErrorMessage="0" allowBlank="1" type="list">
      <formula1>=WorkStatus</formula1>
    </dataValidation>
    <dataValidation sqref="E2:E501" showDropDown="0" showInputMessage="0" showErrorMessage="0" allowBlank="1" type="list">
      <formula1>=WorkStatus</formula1>
    </dataValidation>
    <dataValidation sqref="G2:G501" showDropDown="0" showInputMessage="0" showErrorMessage="0" allowBlank="1" type="list">
      <formula1>=WorkStatus</formula1>
    </dataValidation>
    <dataValidation sqref="I2:I501" showDropDown="0" showInputMessage="0" showErrorMessage="0" allowBlank="1" type="list">
      <formula1>=WIPStatus</formula1>
    </dataValidation>
    <dataValidation sqref="J2:J501" showDropDown="0" showInputMessage="0" showErrorMessage="0" allowBlank="1" type="list">
      <formula1>=ActionRequired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  <col width="38" customWidth="1" min="10" max="10"/>
    <col width="38" customWidth="1" min="11" max="11"/>
    <col width="38" customWidth="1" min="12" max="12"/>
  </cols>
  <sheetData>
    <row r="1">
      <c r="A1" s="7" t="inlineStr">
        <is>
          <t>Date</t>
        </is>
      </c>
      <c r="B1" s="7" t="inlineStr">
        <is>
          <t>Two deadlines within 7 days?</t>
        </is>
      </c>
      <c r="C1" s="7" t="inlineStr">
        <is>
          <t>Exam within 5 days?</t>
        </is>
      </c>
      <c r="D1" s="7" t="inlineStr">
        <is>
          <t>Sleep below 6h for 2 nights?</t>
        </is>
      </c>
      <c r="E1" s="7" t="inlineStr">
        <is>
          <t>Lab unresolved after 2h?</t>
        </is>
      </c>
      <c r="F1" s="7" t="inlineStr">
        <is>
          <t>Group assignment depends on me?</t>
        </is>
      </c>
      <c r="G1" s="7" t="inlineStr">
        <is>
          <t>Mental fatigue / context switching slow?</t>
        </is>
      </c>
      <c r="H1" s="7" t="inlineStr">
        <is>
          <t>Chaos Mode Status</t>
        </is>
      </c>
      <c r="I1" s="7" t="inlineStr">
        <is>
          <t>Allowed Work</t>
        </is>
      </c>
      <c r="J1" s="7" t="inlineStr">
        <is>
          <t>Banned Work</t>
        </is>
      </c>
      <c r="K1" s="7" t="inlineStr">
        <is>
          <t>Recovery Action</t>
        </is>
      </c>
      <c r="L1" s="7" t="inlineStr">
        <is>
          <t>Notes</t>
        </is>
      </c>
    </row>
    <row r="2">
      <c r="A2" s="8" t="n">
        <v>46167</v>
      </c>
      <c r="B2" s="9" t="inlineStr">
        <is>
          <t>No</t>
        </is>
      </c>
      <c r="C2" s="9" t="inlineStr">
        <is>
          <t>No</t>
        </is>
      </c>
      <c r="D2" s="9" t="inlineStr">
        <is>
          <t>No</t>
        </is>
      </c>
      <c r="E2" s="9" t="inlineStr">
        <is>
          <t>No</t>
        </is>
      </c>
      <c r="F2" s="9" t="inlineStr">
        <is>
          <t>No</t>
        </is>
      </c>
      <c r="G2" s="9" t="inlineStr">
        <is>
          <t>No</t>
        </is>
      </c>
      <c r="H2" s="9">
        <f>IF(COUNTIF(B2:F2,"Yes")&gt;0,"On",IF(OR(D2="Yes",G2="Yes"),"Watch","Off"))</f>
        <v/>
      </c>
      <c r="I2" s="9" t="inlineStr">
        <is>
          <t>Theory mapping note</t>
        </is>
      </c>
      <c r="J2" s="9" t="inlineStr"/>
      <c r="K2" s="9" t="inlineStr">
        <is>
          <t>Write short note</t>
        </is>
      </c>
      <c r="L2" s="9" t="inlineStr">
        <is>
          <t>Normal Q1 week.</t>
        </is>
      </c>
    </row>
    <row r="3">
      <c r="A3" s="8" t="n">
        <v>46168</v>
      </c>
      <c r="B3" s="9" t="inlineStr">
        <is>
          <t>No</t>
        </is>
      </c>
      <c r="C3" s="9" t="inlineStr">
        <is>
          <t>No</t>
        </is>
      </c>
      <c r="D3" s="9" t="inlineStr">
        <is>
          <t>No</t>
        </is>
      </c>
      <c r="E3" s="9" t="inlineStr">
        <is>
          <t>No</t>
        </is>
      </c>
      <c r="F3" s="9" t="inlineStr">
        <is>
          <t>No</t>
        </is>
      </c>
      <c r="G3" s="9" t="inlineStr">
        <is>
          <t>No</t>
        </is>
      </c>
      <c r="H3" s="9">
        <f>IF(COUNTIF(B3:F3,"Yes")&gt;0,"On",IF(OR(D3="Yes",G3="Yes"),"Watch","Off"))</f>
        <v/>
      </c>
      <c r="I3" s="9" t="inlineStr">
        <is>
          <t>Keep services stable</t>
        </is>
      </c>
      <c r="J3" s="9" t="inlineStr"/>
      <c r="K3" s="9" t="inlineStr">
        <is>
          <t>Restore service</t>
        </is>
      </c>
      <c r="L3" s="9" t="inlineStr">
        <is>
          <t>Controlled break only.</t>
        </is>
      </c>
    </row>
    <row r="4">
      <c r="A4" s="8" t="n">
        <v>46169</v>
      </c>
      <c r="B4" s="9" t="inlineStr">
        <is>
          <t>No</t>
        </is>
      </c>
      <c r="C4" s="9" t="inlineStr">
        <is>
          <t>No</t>
        </is>
      </c>
      <c r="D4" s="9" t="inlineStr">
        <is>
          <t>No</t>
        </is>
      </c>
      <c r="E4" s="9" t="inlineStr">
        <is>
          <t>No</t>
        </is>
      </c>
      <c r="F4" s="9" t="inlineStr">
        <is>
          <t>No</t>
        </is>
      </c>
      <c r="G4" s="9" t="inlineStr">
        <is>
          <t>Yes</t>
        </is>
      </c>
      <c r="H4" s="9">
        <f>IF(COUNTIF(B4:F4,"Yes")&gt;0,"On",IF(OR(D4="Yes",G4="Yes"),"Watch","Off"))</f>
        <v/>
      </c>
      <c r="I4" s="9" t="inlineStr">
        <is>
          <t>Evidence parking</t>
        </is>
      </c>
      <c r="J4" s="9" t="inlineStr">
        <is>
          <t>Late-night debugging</t>
        </is>
      </c>
      <c r="K4" s="9" t="inlineStr">
        <is>
          <t>Sleep</t>
        </is>
      </c>
      <c r="L4" s="9" t="inlineStr">
        <is>
          <t>Watch context switching.</t>
        </is>
      </c>
    </row>
    <row r="5">
      <c r="A5" s="8" t="n">
        <v>46170</v>
      </c>
      <c r="B5" s="9" t="inlineStr">
        <is>
          <t>No</t>
        </is>
      </c>
      <c r="C5" s="9" t="inlineStr">
        <is>
          <t>No</t>
        </is>
      </c>
      <c r="D5" s="9" t="inlineStr">
        <is>
          <t>No</t>
        </is>
      </c>
      <c r="E5" s="9" t="inlineStr">
        <is>
          <t>No</t>
        </is>
      </c>
      <c r="F5" s="9" t="inlineStr">
        <is>
          <t>No</t>
        </is>
      </c>
      <c r="G5" s="9" t="inlineStr">
        <is>
          <t>No</t>
        </is>
      </c>
      <c r="H5" s="9">
        <f>IF(COUNTIF(B5:F5,"Yes")&gt;0,"On",IF(OR(D5="Yes",G5="Yes"),"Watch","Off"))</f>
        <v/>
      </c>
      <c r="I5" s="9" t="inlineStr">
        <is>
          <t>Keep services stable</t>
        </is>
      </c>
      <c r="J5" s="9" t="inlineStr"/>
      <c r="K5" s="9" t="inlineStr">
        <is>
          <t>Run</t>
        </is>
      </c>
      <c r="L5" s="9" t="inlineStr"/>
    </row>
    <row r="6">
      <c r="A6" s="8" t="n">
        <v>46171</v>
      </c>
      <c r="B6" s="9" t="inlineStr">
        <is>
          <t>No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  <c r="H6" s="9">
        <f>IF(COUNTIF(B6:F6,"Yes")&gt;0,"On",IF(OR(D6="Yes",G6="Yes"),"Watch","Off"))</f>
        <v/>
      </c>
      <c r="I6" s="9" t="inlineStr">
        <is>
          <t>Documentation only</t>
        </is>
      </c>
      <c r="J6" s="9" t="inlineStr"/>
      <c r="K6" s="9" t="inlineStr">
        <is>
          <t>Close backlog</t>
        </is>
      </c>
      <c r="L6" s="9" t="inlineStr"/>
    </row>
    <row r="7">
      <c r="A7" s="8" t="n">
        <v>46172</v>
      </c>
      <c r="B7" s="9" t="inlineStr">
        <is>
          <t>No</t>
        </is>
      </c>
      <c r="C7" s="9" t="inlineStr">
        <is>
          <t>No</t>
        </is>
      </c>
      <c r="D7" s="9" t="inlineStr">
        <is>
          <t>No</t>
        </is>
      </c>
      <c r="E7" s="9" t="inlineStr">
        <is>
          <t>No</t>
        </is>
      </c>
      <c r="F7" s="9" t="inlineStr">
        <is>
          <t>No</t>
        </is>
      </c>
      <c r="G7" s="9" t="inlineStr">
        <is>
          <t>No</t>
        </is>
      </c>
      <c r="H7" s="9">
        <f>IF(COUNTIF(B7:F7,"Yes")&gt;0,"On",IF(OR(D7="Yes",G7="Yes"),"Watch","Off"))</f>
        <v/>
      </c>
      <c r="I7" s="9" t="inlineStr">
        <is>
          <t>Maintenance review</t>
        </is>
      </c>
      <c r="J7" s="9" t="inlineStr"/>
      <c r="K7" s="9" t="inlineStr">
        <is>
          <t>Sleep</t>
        </is>
      </c>
      <c r="L7" s="9" t="inlineStr"/>
    </row>
    <row r="8">
      <c r="A8" s="8" t="n">
        <v>46173</v>
      </c>
      <c r="B8" s="9" t="inlineStr">
        <is>
          <t>No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  <c r="H8" s="9">
        <f>IF(COUNTIF(B8:F8,"Yes")&gt;0,"On",IF(OR(D8="Yes",G8="Yes"),"Watch","Off"))</f>
        <v/>
      </c>
      <c r="I8" s="9" t="inlineStr">
        <is>
          <t>Documentation only</t>
        </is>
      </c>
      <c r="J8" s="9" t="inlineStr"/>
      <c r="K8" s="9" t="inlineStr">
        <is>
          <t>Buffer week</t>
        </is>
      </c>
      <c r="L8" s="9" t="inlineStr"/>
    </row>
  </sheetData>
  <conditionalFormatting sqref="A2:L501">
    <cfRule type="expression" priority="1" dxfId="0">
      <formula>$H2="On"</formula>
    </cfRule>
    <cfRule type="expression" priority="2" dxfId="1">
      <formula>$H2="Watch"</formula>
    </cfRule>
  </conditionalFormatting>
  <conditionalFormatting sqref="J2:J501">
    <cfRule type="expression" priority="3" dxfId="0">
      <formula>AND($H2="On",$J2="")</formula>
    </cfRule>
  </conditionalFormatting>
  <dataValidations count="10">
    <dataValidation sqref="B2:B501" showDropDown="0" showInputMessage="0" showErrorMessage="0" allowBlank="1" type="list">
      <formula1>=YesNo</formula1>
    </dataValidation>
    <dataValidation sqref="C2:C501" showDropDown="0" showInputMessage="0" showErrorMessage="0" allowBlank="1" type="list">
      <formula1>=YesNo</formula1>
    </dataValidation>
    <dataValidation sqref="D2:D501" showDropDown="0" showInputMessage="0" showErrorMessage="0" allowBlank="1" type="list">
      <formula1>=YesNo</formula1>
    </dataValidation>
    <dataValidation sqref="E2:E501" showDropDown="0" showInputMessage="0" showErrorMessage="0" allowBlank="1" type="list">
      <formula1>=YesNo</formula1>
    </dataValidation>
    <dataValidation sqref="F2:F501" showDropDown="0" showInputMessage="0" showErrorMessage="0" allowBlank="1" type="list">
      <formula1>=YesNo</formula1>
    </dataValidation>
    <dataValidation sqref="G2:G501" showDropDown="0" showInputMessage="0" showErrorMessage="0" allowBlank="1" type="list">
      <formula1>=YesNo</formula1>
    </dataValidation>
    <dataValidation sqref="H2:H501" showDropDown="0" showInputMessage="0" showErrorMessage="0" allowBlank="1" type="list">
      <formula1>=ChaosModeStatus</formula1>
    </dataValidation>
    <dataValidation sqref="I2:I501" showDropDown="0" showInputMessage="0" showErrorMessage="0" allowBlank="1" type="list">
      <formula1>=AllowedWork</formula1>
    </dataValidation>
    <dataValidation sqref="J2:J501" showDropDown="0" showInputMessage="0" showErrorMessage="0" allowBlank="1" type="list">
      <formula1>=BannedWork</formula1>
    </dataValidation>
    <dataValidation sqref="K2:K501" showDropDown="0" showInputMessage="0" showErrorMessage="0" allowBlank="1" type="list">
      <formula1>=RecoveryAction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8" customWidth="1" min="11" max="11"/>
  </cols>
  <sheetData>
    <row r="1">
      <c r="A1" s="7" t="inlineStr">
        <is>
          <t>Date</t>
        </is>
      </c>
      <c r="B1" s="7" t="inlineStr">
        <is>
          <t>Sleep Hours</t>
        </is>
      </c>
      <c r="C1" s="7" t="inlineStr">
        <is>
          <t>Focus Hours</t>
        </is>
      </c>
      <c r="D1" s="7" t="inlineStr">
        <is>
          <t>Deep Work Blocks</t>
        </is>
      </c>
      <c r="E1" s="7" t="inlineStr">
        <is>
          <t>Exercise / Run?</t>
        </is>
      </c>
      <c r="F1" s="7" t="inlineStr">
        <is>
          <t>Energy Level</t>
        </is>
      </c>
      <c r="G1" s="7" t="inlineStr">
        <is>
          <t>Stress Level</t>
        </is>
      </c>
      <c r="H1" s="7" t="inlineStr">
        <is>
          <t>Context Switching Level</t>
        </is>
      </c>
      <c r="I1" s="7" t="inlineStr">
        <is>
          <t>Late Night Debugging?</t>
        </is>
      </c>
      <c r="J1" s="7" t="inlineStr">
        <is>
          <t>Recovery Done?</t>
        </is>
      </c>
      <c r="K1" s="7" t="inlineStr">
        <is>
          <t>Notes</t>
        </is>
      </c>
    </row>
    <row r="2">
      <c r="A2" s="8" t="n">
        <v>46167</v>
      </c>
      <c r="B2" s="9" t="n">
        <v>7</v>
      </c>
      <c r="C2" s="9" t="n">
        <v>1.5</v>
      </c>
      <c r="D2" s="9" t="n">
        <v>1</v>
      </c>
      <c r="E2" s="9" t="inlineStr">
        <is>
          <t>No</t>
        </is>
      </c>
      <c r="F2" s="9" t="n">
        <v>4</v>
      </c>
      <c r="G2" s="9" t="inlineStr">
        <is>
          <t>Low</t>
        </is>
      </c>
      <c r="H2" s="9" t="inlineStr">
        <is>
          <t>Low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Theory mapping only.</t>
        </is>
      </c>
    </row>
    <row r="3">
      <c r="A3" s="8" t="n">
        <v>46168</v>
      </c>
      <c r="B3" s="9" t="n">
        <v>6.5</v>
      </c>
      <c r="C3" s="9" t="n">
        <v>2</v>
      </c>
      <c r="D3" s="9" t="n">
        <v>1</v>
      </c>
      <c r="E3" s="9" t="inlineStr">
        <is>
          <t>No</t>
        </is>
      </c>
      <c r="F3" s="9" t="n">
        <v>3</v>
      </c>
      <c r="G3" s="9" t="inlineStr">
        <is>
          <t>Medium</t>
        </is>
      </c>
      <c r="H3" s="9" t="inlineStr">
        <is>
          <t>Medium</t>
        </is>
      </c>
      <c r="I3" s="9" t="inlineStr">
        <is>
          <t>No</t>
        </is>
      </c>
      <c r="J3" s="9" t="inlineStr">
        <is>
          <t>Yes</t>
        </is>
      </c>
      <c r="K3" s="9" t="inlineStr">
        <is>
          <t>Controlled break window.</t>
        </is>
      </c>
    </row>
    <row r="4">
      <c r="A4" s="8" t="n">
        <v>46169</v>
      </c>
      <c r="B4" s="9" t="n">
        <v>6</v>
      </c>
      <c r="C4" s="9" t="n">
        <v>2.5</v>
      </c>
      <c r="D4" s="9" t="n">
        <v>2</v>
      </c>
      <c r="E4" s="9" t="inlineStr">
        <is>
          <t>No</t>
        </is>
      </c>
      <c r="F4" s="9" t="n">
        <v>3</v>
      </c>
      <c r="G4" s="9" t="inlineStr">
        <is>
          <t>Medium</t>
        </is>
      </c>
      <c r="H4" s="9" t="inlineStr">
        <is>
          <t>High</t>
        </is>
      </c>
      <c r="I4" s="9" t="inlineStr">
        <is>
          <t>No</t>
        </is>
      </c>
      <c r="J4" s="9" t="inlineStr">
        <is>
          <t>Yes</t>
        </is>
      </c>
      <c r="K4" s="9" t="inlineStr">
        <is>
          <t>Measurement was slower than expected.</t>
        </is>
      </c>
    </row>
    <row r="5">
      <c r="A5" s="8" t="n">
        <v>46170</v>
      </c>
      <c r="B5" s="9" t="n">
        <v>7.5</v>
      </c>
      <c r="C5" s="9" t="n">
        <v>1.5</v>
      </c>
      <c r="D5" s="9" t="n">
        <v>1</v>
      </c>
      <c r="E5" s="9" t="inlineStr">
        <is>
          <t>Yes</t>
        </is>
      </c>
      <c r="F5" s="9" t="n">
        <v>4</v>
      </c>
      <c r="G5" s="9" t="inlineStr">
        <is>
          <t>Low</t>
        </is>
      </c>
      <c r="H5" s="9" t="inlineStr">
        <is>
          <t>Low</t>
        </is>
      </c>
      <c r="I5" s="9" t="inlineStr">
        <is>
          <t>No</t>
        </is>
      </c>
      <c r="J5" s="9" t="inlineStr">
        <is>
          <t>Yes</t>
        </is>
      </c>
      <c r="K5" s="9" t="inlineStr">
        <is>
          <t>Fix completed before night.</t>
        </is>
      </c>
    </row>
    <row r="6">
      <c r="A6" s="8" t="n">
        <v>46171</v>
      </c>
      <c r="B6" s="9" t="n">
        <v>7</v>
      </c>
      <c r="C6" s="9" t="n">
        <v>2</v>
      </c>
      <c r="D6" s="9" t="n">
        <v>1</v>
      </c>
      <c r="E6" s="9" t="inlineStr">
        <is>
          <t>No</t>
        </is>
      </c>
      <c r="F6" s="9" t="n">
        <v>4</v>
      </c>
      <c r="G6" s="9" t="inlineStr">
        <is>
          <t>Low</t>
        </is>
      </c>
      <c r="H6" s="9" t="inlineStr">
        <is>
          <t>Medium</t>
        </is>
      </c>
      <c r="I6" s="9" t="inlineStr">
        <is>
          <t>No</t>
        </is>
      </c>
      <c r="J6" s="9" t="inlineStr">
        <is>
          <t>Yes</t>
        </is>
      </c>
      <c r="K6" s="9" t="inlineStr">
        <is>
          <t>Documentation block.</t>
        </is>
      </c>
    </row>
    <row r="7">
      <c r="A7" s="8" t="n">
        <v>46172</v>
      </c>
      <c r="B7" s="9" t="n">
        <v>6.5</v>
      </c>
      <c r="C7" s="9" t="n">
        <v>2</v>
      </c>
      <c r="D7" s="9" t="n">
        <v>1</v>
      </c>
      <c r="E7" s="9" t="inlineStr">
        <is>
          <t>Yes</t>
        </is>
      </c>
      <c r="F7" s="9" t="n">
        <v>3</v>
      </c>
      <c r="G7" s="9" t="inlineStr">
        <is>
          <t>Medium</t>
        </is>
      </c>
      <c r="H7" s="9" t="inlineStr">
        <is>
          <t>Medium</t>
        </is>
      </c>
      <c r="I7" s="9" t="inlineStr">
        <is>
          <t>No</t>
        </is>
      </c>
      <c r="J7" s="9" t="inlineStr">
        <is>
          <t>Yes</t>
        </is>
      </c>
      <c r="K7" s="9" t="inlineStr">
        <is>
          <t>CCNA drill.</t>
        </is>
      </c>
    </row>
    <row r="8">
      <c r="A8" s="8" t="n">
        <v>46173</v>
      </c>
      <c r="B8" s="9" t="n">
        <v>8</v>
      </c>
      <c r="C8" s="9" t="n">
        <v>1.5</v>
      </c>
      <c r="D8" s="9" t="n">
        <v>1</v>
      </c>
      <c r="E8" s="9" t="inlineStr">
        <is>
          <t>No</t>
        </is>
      </c>
      <c r="F8" s="9" t="n">
        <v>4</v>
      </c>
      <c r="G8" s="9" t="inlineStr">
        <is>
          <t>Low</t>
        </is>
      </c>
      <c r="H8" s="9" t="inlineStr">
        <is>
          <t>Low</t>
        </is>
      </c>
      <c r="I8" s="9" t="inlineStr">
        <is>
          <t>No</t>
        </is>
      </c>
      <c r="J8" s="9" t="inlineStr">
        <is>
          <t>Yes</t>
        </is>
      </c>
      <c r="K8" s="9" t="inlineStr">
        <is>
          <t>Weekly review.</t>
        </is>
      </c>
    </row>
  </sheetData>
  <conditionalFormatting sqref="B2:B501">
    <cfRule type="cellIs" priority="1" operator="lessThan" dxfId="0">
      <formula>6</formula>
    </cfRule>
  </conditionalFormatting>
  <conditionalFormatting sqref="A2:K501">
    <cfRule type="expression" priority="2" dxfId="0">
      <formula>$I2="Yes"</formula>
    </cfRule>
    <cfRule type="expression" priority="3" dxfId="3">
      <formula>$G2="High"</formula>
    </cfRule>
    <cfRule type="expression" priority="4" dxfId="1">
      <formula>$H2="High"</formula>
    </cfRule>
    <cfRule type="expression" priority="5" dxfId="0">
      <formula>AND($J2="No",$G2="High")</formula>
    </cfRule>
  </conditionalFormatting>
  <dataValidations count="6">
    <dataValidation sqref="E2:E501" showDropDown="0" showInputMessage="0" showErrorMessage="0" allowBlank="1" type="list">
      <formula1>=YesNo</formula1>
    </dataValidation>
    <dataValidation sqref="F2:F501" showDropDown="0" showInputMessage="0" showErrorMessage="0" allowBlank="1" type="list">
      <formula1>=EnergyLevel</formula1>
    </dataValidation>
    <dataValidation sqref="G2:G501" showDropDown="0" showInputMessage="0" showErrorMessage="0" allowBlank="1" type="list">
      <formula1>=StressLevel</formula1>
    </dataValidation>
    <dataValidation sqref="H2:H501" showDropDown="0" showInputMessage="0" showErrorMessage="0" allowBlank="1" type="list">
      <formula1>=ContextSwitchingLevel</formula1>
    </dataValidation>
    <dataValidation sqref="I2:I501" showDropDown="0" showInputMessage="0" showErrorMessage="0" allowBlank="1" type="list">
      <formula1>=YesNo</formula1>
    </dataValidation>
    <dataValidation sqref="J2:J501" showDropDown="0" showInputMessage="0" showErrorMessage="0" allowBlank="1" type="list">
      <formula1>=YesNo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8" customWidth="1" min="9" max="9"/>
    <col width="16" customWidth="1" min="10" max="10"/>
    <col width="38" customWidth="1" min="11" max="11"/>
  </cols>
  <sheetData>
    <row r="1">
      <c r="A1" s="11" t="inlineStr">
        <is>
          <t>AWS SAA is bonus only: keep it blocked/optional unless CCNA and CKA are done or genuinely under control.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>
      <c r="A2" s="7" t="inlineStr">
        <is>
          <t>Date</t>
        </is>
      </c>
      <c r="B2" s="7" t="inlineStr">
        <is>
          <t>Certification Track</t>
        </is>
      </c>
      <c r="C2" s="7" t="inlineStr">
        <is>
          <t>Domain / Topic</t>
        </is>
      </c>
      <c r="D2" s="7" t="inlineStr">
        <is>
          <t>Study Type</t>
        </is>
      </c>
      <c r="E2" s="7" t="inlineStr">
        <is>
          <t>Time Spent Hours</t>
        </is>
      </c>
      <c r="F2" s="7" t="inlineStr">
        <is>
          <t>Practice Score</t>
        </is>
      </c>
      <c r="G2" s="7" t="inlineStr">
        <is>
          <t>Weak Area</t>
        </is>
      </c>
      <c r="H2" s="7" t="inlineStr">
        <is>
          <t>Retest Needed?</t>
        </is>
      </c>
      <c r="I2" s="7" t="inlineStr">
        <is>
          <t>Evidence Link</t>
        </is>
      </c>
      <c r="J2" s="7" t="inlineStr">
        <is>
          <t>Status</t>
        </is>
      </c>
      <c r="K2" s="7" t="inlineStr">
        <is>
          <t>Notes</t>
        </is>
      </c>
    </row>
    <row r="3">
      <c r="A3" s="8" t="n">
        <v>46172</v>
      </c>
      <c r="B3" s="9" t="inlineStr">
        <is>
          <t>CCNA</t>
        </is>
      </c>
      <c r="C3" s="9" t="inlineStr">
        <is>
          <t>Subnetting and static routing</t>
        </is>
      </c>
      <c r="D3" s="9" t="inlineStr">
        <is>
          <t>Practice Exam</t>
        </is>
      </c>
      <c r="E3" s="9" t="n">
        <v>2</v>
      </c>
      <c r="F3" s="9" t="n">
        <v>78</v>
      </c>
      <c r="G3" s="9" t="inlineStr">
        <is>
          <t>ACL order</t>
        </is>
      </c>
      <c r="H3" s="9" t="inlineStr">
        <is>
          <t>Yes</t>
        </is>
      </c>
      <c r="I3" s="9" t="inlineStr">
        <is>
          <t>E:\Roadmaps\evidence\cert\ccna-2026-05-30.md</t>
        </is>
      </c>
      <c r="J3" s="9" t="inlineStr">
        <is>
          <t>Needs Retest</t>
        </is>
      </c>
      <c r="K3" s="9" t="inlineStr">
        <is>
          <t>Retest weak ACL questions.</t>
        </is>
      </c>
    </row>
    <row r="4">
      <c r="A4" s="8" t="n">
        <v>46173</v>
      </c>
      <c r="B4" s="9" t="inlineStr">
        <is>
          <t>CCNA</t>
        </is>
      </c>
      <c r="C4" s="9" t="inlineStr">
        <is>
          <t>Route selection review</t>
        </is>
      </c>
      <c r="D4" s="9" t="inlineStr">
        <is>
          <t>Review</t>
        </is>
      </c>
      <c r="E4" s="9" t="n">
        <v>0.5</v>
      </c>
      <c r="F4" s="9" t="n">
        <v>0</v>
      </c>
      <c r="G4" s="9" t="inlineStr">
        <is>
          <t>Default route explanation</t>
        </is>
      </c>
      <c r="H4" s="9" t="inlineStr">
        <is>
          <t>No</t>
        </is>
      </c>
      <c r="I4" s="9" t="inlineStr">
        <is>
          <t>E:\Roadmaps\evidence\weekly\2026-W22-review.md</t>
        </is>
      </c>
      <c r="J4" s="9" t="inlineStr">
        <is>
          <t>Done</t>
        </is>
      </c>
      <c r="K4" s="9" t="inlineStr">
        <is>
          <t>Maps to wrong-gateway lab.</t>
        </is>
      </c>
    </row>
  </sheetData>
  <conditionalFormatting sqref="A3:K501">
    <cfRule type="expression" priority="1" dxfId="1">
      <formula>AND($B3="AWS SAA",$J3&lt;&gt;"Deferred")</formula>
    </cfRule>
    <cfRule type="expression" priority="2" dxfId="3">
      <formula>$J3="Needs Retest"</formula>
    </cfRule>
  </conditionalFormatting>
  <dataValidations count="4">
    <dataValidation sqref="B2:B501" showDropDown="0" showInputMessage="0" showErrorMessage="0" allowBlank="1" type="list">
      <formula1>=CertificationTrack</formula1>
    </dataValidation>
    <dataValidation sqref="D2:D501" showDropDown="0" showInputMessage="0" showErrorMessage="0" allowBlank="1" type="list">
      <formula1>=StudyType</formula1>
    </dataValidation>
    <dataValidation sqref="H2:H501" showDropDown="0" showInputMessage="0" showErrorMessage="0" allowBlank="1" type="list">
      <formula1>=YesNo</formula1>
    </dataValidation>
    <dataValidation sqref="J2:J501" showDropDown="0" showInputMessage="0" showErrorMessage="0" allowBlank="1" type="list">
      <formula1>=Status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26" customWidth="1" min="7" max="7"/>
    <col width="38" customWidth="1" min="8" max="8"/>
    <col width="16" customWidth="1" min="9" max="9"/>
    <col width="16" customWidth="1" min="10" max="10"/>
    <col width="38" customWidth="1" min="11" max="11"/>
  </cols>
  <sheetData>
    <row r="1">
      <c r="A1" s="7" t="inlineStr">
        <is>
          <t>Date</t>
        </is>
      </c>
      <c r="B1" s="7" t="inlineStr">
        <is>
          <t>Course</t>
        </is>
      </c>
      <c r="C1" s="7" t="inlineStr">
        <is>
          <t>Current Risk</t>
        </is>
      </c>
      <c r="D1" s="7" t="inlineStr">
        <is>
          <t>Next Deadline</t>
        </is>
      </c>
      <c r="E1" s="7" t="inlineStr">
        <is>
          <t>Days Until Deadline</t>
        </is>
      </c>
      <c r="F1" s="7" t="inlineStr">
        <is>
          <t>Required Output</t>
        </is>
      </c>
      <c r="G1" s="7" t="inlineStr">
        <is>
          <t>Roadmap Mapping</t>
        </is>
      </c>
      <c r="H1" s="7" t="inlineStr">
        <is>
          <t>Action This Week</t>
        </is>
      </c>
      <c r="I1" s="7" t="inlineStr">
        <is>
          <t>Group Dependency?</t>
        </is>
      </c>
      <c r="J1" s="7" t="inlineStr">
        <is>
          <t>Status</t>
        </is>
      </c>
      <c r="K1" s="7" t="inlineStr">
        <is>
          <t>Notes</t>
        </is>
      </c>
    </row>
    <row r="2">
      <c r="A2" s="8" t="n">
        <v>46173</v>
      </c>
      <c r="B2" s="9" t="inlineStr">
        <is>
          <t>Information Systems Analysis</t>
        </is>
      </c>
      <c r="C2" s="9" t="inlineStr">
        <is>
          <t>Green</t>
        </is>
      </c>
      <c r="D2" s="8" t="n">
        <v>46187</v>
      </c>
      <c r="E2" s="9">
        <f>IFERROR(D2-A2,0)</f>
        <v/>
      </c>
      <c r="F2" s="9" t="inlineStr">
        <is>
          <t>C4 Context draft</t>
        </is>
      </c>
      <c r="G2" s="9" t="inlineStr">
        <is>
          <t>student-feedback-system architecture</t>
        </is>
      </c>
      <c r="H2" s="9" t="inlineStr">
        <is>
          <t>Draft one diagram</t>
        </is>
      </c>
      <c r="I2" s="9" t="inlineStr">
        <is>
          <t>No</t>
        </is>
      </c>
      <c r="J2" s="9" t="inlineStr">
        <is>
          <t>On Track</t>
        </is>
      </c>
      <c r="K2" s="9" t="inlineStr">
        <is>
          <t>Sample before school-heavy mode.</t>
        </is>
      </c>
    </row>
    <row r="3">
      <c r="A3" s="8" t="n">
        <v>46237</v>
      </c>
      <c r="B3" s="9" t="inlineStr">
        <is>
          <t>Project Management</t>
        </is>
      </c>
      <c r="C3" s="9" t="inlineStr">
        <is>
          <t>Yellow</t>
        </is>
      </c>
      <c r="D3" s="8" t="n">
        <v>46244</v>
      </c>
      <c r="E3" s="9">
        <f>IFERROR(D3-A3,0)</f>
        <v/>
      </c>
      <c r="F3" s="9" t="inlineStr">
        <is>
          <t>Risk register</t>
        </is>
      </c>
      <c r="G3" s="9" t="inlineStr">
        <is>
          <t>Roadmap risk register</t>
        </is>
      </c>
      <c r="H3" s="9" t="inlineStr">
        <is>
          <t>Clarify rubric</t>
        </is>
      </c>
      <c r="I3" s="9" t="inlineStr">
        <is>
          <t>Yes</t>
        </is>
      </c>
      <c r="J3" s="9" t="inlineStr">
        <is>
          <t>Needs Attention</t>
        </is>
      </c>
      <c r="K3" s="9" t="inlineStr">
        <is>
          <t>School-heavy sample row.</t>
        </is>
      </c>
    </row>
  </sheetData>
  <conditionalFormatting sqref="A2:K501">
    <cfRule type="expression" priority="1" dxfId="0">
      <formula>AND($E2&lt;=7,$J2&lt;&gt;"Submitted")</formula>
    </cfRule>
    <cfRule type="expression" priority="2" dxfId="0">
      <formula>$C2="Red"</formula>
    </cfRule>
    <cfRule type="expression" priority="3" dxfId="1">
      <formula>$C2="Yellow"</formula>
    </cfRule>
    <cfRule type="expression" priority="4" dxfId="3">
      <formula>AND($I2="Yes",$J2&lt;&gt;"Submitted")</formula>
    </cfRule>
  </conditionalFormatting>
  <dataValidations count="3">
    <dataValidation sqref="C2:C501" showDropDown="0" showInputMessage="0" showErrorMessage="0" allowBlank="1" type="list">
      <formula1>=SchoolRiskLevel</formula1>
    </dataValidation>
    <dataValidation sqref="I2:I501" showDropDown="0" showInputMessage="0" showErrorMessage="0" allowBlank="1" type="list">
      <formula1>=YesNo</formula1>
    </dataValidation>
    <dataValidation sqref="J2:J501" showDropDown="0" showInputMessage="0" showErrorMessage="0" allowBlank="1" type="list">
      <formula1>=SchoolStatus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8" customWidth="1" min="15" max="15"/>
  </cols>
  <sheetData>
    <row r="1">
      <c r="A1" s="7" t="inlineStr">
        <is>
          <t>Month</t>
        </is>
      </c>
      <c r="B1" s="7" t="inlineStr">
        <is>
          <t>Roadmap Phase</t>
        </is>
      </c>
      <c r="C1" s="7" t="inlineStr">
        <is>
          <t>Formal Explanation Quality</t>
        </is>
      </c>
      <c r="D1" s="7" t="inlineStr">
        <is>
          <t>Evidence Quality</t>
        </is>
      </c>
      <c r="E1" s="7" t="inlineStr">
        <is>
          <t>Debugging Discipline</t>
        </is>
      </c>
      <c r="F1" s="7" t="inlineStr">
        <is>
          <t>Diagram Quality</t>
        </is>
      </c>
      <c r="G1" s="7" t="inlineStr">
        <is>
          <t>Postmortem Quality</t>
        </is>
      </c>
      <c r="H1" s="7" t="inlineStr">
        <is>
          <t>Certification Progress</t>
        </is>
      </c>
      <c r="I1" s="7" t="inlineStr">
        <is>
          <t>Restraint From Tool Collecting</t>
        </is>
      </c>
      <c r="J1" s="7" t="inlineStr">
        <is>
          <t>Average Score</t>
        </is>
      </c>
      <c r="K1" s="7" t="inlineStr">
        <is>
          <t>Kill List Item</t>
        </is>
      </c>
      <c r="L1" s="7" t="inlineStr">
        <is>
          <t>Best Artifact</t>
        </is>
      </c>
      <c r="M1" s="7" t="inlineStr">
        <is>
          <t>Weakest Area</t>
        </is>
      </c>
      <c r="N1" s="7" t="inlineStr">
        <is>
          <t>Decision for Next Month</t>
        </is>
      </c>
      <c r="O1" s="7" t="inlineStr">
        <is>
          <t>Notes</t>
        </is>
      </c>
    </row>
    <row r="2">
      <c r="A2" s="9" t="inlineStr">
        <is>
          <t>May 2026</t>
        </is>
      </c>
      <c r="B2" s="9" t="inlineStr">
        <is>
          <t>Q1 Network and OS</t>
        </is>
      </c>
      <c r="C2" s="9" t="n">
        <v>4</v>
      </c>
      <c r="D2" s="9" t="n">
        <v>3</v>
      </c>
      <c r="E2" s="9" t="n">
        <v>4</v>
      </c>
      <c r="F2" s="9" t="n">
        <v>3</v>
      </c>
      <c r="G2" s="9" t="n">
        <v>3</v>
      </c>
      <c r="H2" s="9" t="n">
        <v>3</v>
      </c>
      <c r="I2" s="9" t="n">
        <v>5</v>
      </c>
      <c r="J2" s="9">
        <f>IFERROR(AVERAGE(C2:I2),0)</f>
        <v/>
      </c>
      <c r="K2" s="9" t="inlineStr">
        <is>
          <t>Archive duplicated notes</t>
        </is>
      </c>
      <c r="L2" s="9" t="inlineStr">
        <is>
          <t>E:\Roadmaps\evidence\lab-reports\wrong-default-gateway.md</t>
        </is>
      </c>
      <c r="M2" s="9" t="inlineStr">
        <is>
          <t>Topology diagram quality</t>
        </is>
      </c>
      <c r="N2" s="9" t="inlineStr">
        <is>
          <t>Continue</t>
        </is>
      </c>
      <c r="O2" s="9" t="inlineStr">
        <is>
          <t>Keep evidence stronger than tool list.</t>
        </is>
      </c>
    </row>
  </sheetData>
  <conditionalFormatting sqref="J2:J501">
    <cfRule type="cellIs" priority="1" operator="lessThan" dxfId="0">
      <formula>3</formula>
    </cfRule>
    <cfRule type="cellIs" priority="2" operator="between" dxfId="1">
      <formula>3</formula>
      <formula>3.9999</formula>
    </cfRule>
    <cfRule type="cellIs" priority="3" operator="greaterThanOrEqual" dxfId="2">
      <formula>4</formula>
    </cfRule>
  </conditionalFormatting>
  <dataValidations count="2">
    <dataValidation sqref="B2:B501" showDropDown="0" showInputMessage="0" showErrorMessage="0" allowBlank="1" type="list">
      <formula1>=RoadmapPhase</formula1>
    </dataValidation>
    <dataValidation sqref="N2:N501" showDropDown="0" showInputMessage="0" showErrorMessage="0" allowBlank="1" type="list">
      <formula1>=MonthlyDecision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2" t="inlineStr">
        <is>
          <t>List Name</t>
        </is>
      </c>
      <c r="B1" s="12" t="inlineStr">
        <is>
          <t>Value</t>
        </is>
      </c>
    </row>
    <row r="2">
      <c r="A2" s="2" t="inlineStr">
        <is>
          <t>RoadmapPhase</t>
        </is>
      </c>
      <c r="B2" s="2" t="inlineStr">
        <is>
          <t>Q1 Network and OS</t>
        </is>
      </c>
    </row>
    <row r="3">
      <c r="A3" s="2" t="inlineStr">
        <is>
          <t>RoadmapPhase</t>
        </is>
      </c>
      <c r="B3" s="2" t="inlineStr">
        <is>
          <t>Q2 Kubernetes and Runtime</t>
        </is>
      </c>
    </row>
    <row r="4">
      <c r="A4" s="2" t="inlineStr">
        <is>
          <t>RoadmapPhase</t>
        </is>
      </c>
      <c r="B4" s="2" t="inlineStr">
        <is>
          <t>Q3 Database and Security</t>
        </is>
      </c>
    </row>
    <row r="5">
      <c r="A5" s="2" t="inlineStr">
        <is>
          <t>RoadmapPhase</t>
        </is>
      </c>
      <c r="B5" s="2" t="inlineStr">
        <is>
          <t>Q4 Production and Portfolio</t>
        </is>
      </c>
    </row>
    <row r="6">
      <c r="A6" s="2" t="inlineStr">
        <is>
          <t>RoadmapPhase</t>
        </is>
      </c>
      <c r="B6" s="2" t="inlineStr">
        <is>
          <t>School-Heavy Mode</t>
        </is>
      </c>
    </row>
    <row r="7">
      <c r="A7" s="2" t="inlineStr">
        <is>
          <t>RoadmapPhase</t>
        </is>
      </c>
      <c r="B7" s="2" t="inlineStr">
        <is>
          <t>Maintenance</t>
        </is>
      </c>
    </row>
    <row r="8">
      <c r="A8" s="2" t="inlineStr">
        <is>
          <t>RoadmapPhase</t>
        </is>
      </c>
      <c r="B8" s="2" t="inlineStr">
        <is>
          <t>Recovery</t>
        </is>
      </c>
    </row>
    <row r="9">
      <c r="A9" s="2" t="inlineStr">
        <is>
          <t>TaskType</t>
        </is>
      </c>
      <c r="B9" s="2" t="inlineStr">
        <is>
          <t>Theory Mapping</t>
        </is>
      </c>
    </row>
    <row r="10">
      <c r="A10" s="2" t="inlineStr">
        <is>
          <t>TaskType</t>
        </is>
      </c>
      <c r="B10" s="2" t="inlineStr">
        <is>
          <t>Build</t>
        </is>
      </c>
    </row>
    <row r="11">
      <c r="A11" s="2" t="inlineStr">
        <is>
          <t>TaskType</t>
        </is>
      </c>
      <c r="B11" s="2" t="inlineStr">
        <is>
          <t>Break / Failure Injection</t>
        </is>
      </c>
    </row>
    <row r="12">
      <c r="A12" s="2" t="inlineStr">
        <is>
          <t>TaskType</t>
        </is>
      </c>
      <c r="B12" s="2" t="inlineStr">
        <is>
          <t>Measure</t>
        </is>
      </c>
    </row>
    <row r="13">
      <c r="A13" s="2" t="inlineStr">
        <is>
          <t>TaskType</t>
        </is>
      </c>
      <c r="B13" s="2" t="inlineStr">
        <is>
          <t>Fix</t>
        </is>
      </c>
    </row>
    <row r="14">
      <c r="A14" s="2" t="inlineStr">
        <is>
          <t>TaskType</t>
        </is>
      </c>
      <c r="B14" s="2" t="inlineStr">
        <is>
          <t>Document</t>
        </is>
      </c>
    </row>
    <row r="15">
      <c r="A15" s="2" t="inlineStr">
        <is>
          <t>TaskType</t>
        </is>
      </c>
      <c r="B15" s="2" t="inlineStr">
        <is>
          <t>Certification Drill</t>
        </is>
      </c>
    </row>
    <row r="16">
      <c r="A16" s="2" t="inlineStr">
        <is>
          <t>TaskType</t>
        </is>
      </c>
      <c r="B16" s="2" t="inlineStr">
        <is>
          <t>University Work</t>
        </is>
      </c>
    </row>
    <row r="17">
      <c r="A17" s="2" t="inlineStr">
        <is>
          <t>TaskType</t>
        </is>
      </c>
      <c r="B17" s="2" t="inlineStr">
        <is>
          <t>Review</t>
        </is>
      </c>
    </row>
    <row r="18">
      <c r="A18" s="2" t="inlineStr">
        <is>
          <t>TaskType</t>
        </is>
      </c>
      <c r="B18" s="2" t="inlineStr">
        <is>
          <t>Recovery</t>
        </is>
      </c>
    </row>
    <row r="19">
      <c r="A19" s="2" t="inlineStr">
        <is>
          <t>Category</t>
        </is>
      </c>
      <c r="B19" s="2" t="inlineStr">
        <is>
          <t>Networking</t>
        </is>
      </c>
    </row>
    <row r="20">
      <c r="A20" s="2" t="inlineStr">
        <is>
          <t>Category</t>
        </is>
      </c>
      <c r="B20" s="2" t="inlineStr">
        <is>
          <t>Linux / OS</t>
        </is>
      </c>
    </row>
    <row r="21">
      <c r="A21" s="2" t="inlineStr">
        <is>
          <t>Category</t>
        </is>
      </c>
      <c r="B21" s="2" t="inlineStr">
        <is>
          <t>Virtualization</t>
        </is>
      </c>
    </row>
    <row r="22">
      <c r="A22" s="2" t="inlineStr">
        <is>
          <t>Category</t>
        </is>
      </c>
      <c r="B22" s="2" t="inlineStr">
        <is>
          <t>Containers</t>
        </is>
      </c>
    </row>
    <row r="23">
      <c r="A23" s="2" t="inlineStr">
        <is>
          <t>Category</t>
        </is>
      </c>
      <c r="B23" s="2" t="inlineStr">
        <is>
          <t>Kubernetes</t>
        </is>
      </c>
    </row>
    <row r="24">
      <c r="A24" s="2" t="inlineStr">
        <is>
          <t>Category</t>
        </is>
      </c>
      <c r="B24" s="2" t="inlineStr">
        <is>
          <t>CI/CD</t>
        </is>
      </c>
    </row>
    <row r="25">
      <c r="A25" s="2" t="inlineStr">
        <is>
          <t>Category</t>
        </is>
      </c>
      <c r="B25" s="2" t="inlineStr">
        <is>
          <t>Security</t>
        </is>
      </c>
    </row>
    <row r="26">
      <c r="A26" s="2" t="inlineStr">
        <is>
          <t>Category</t>
        </is>
      </c>
      <c r="B26" s="2" t="inlineStr">
        <is>
          <t>Database</t>
        </is>
      </c>
    </row>
    <row r="27">
      <c r="A27" s="2" t="inlineStr">
        <is>
          <t>Category</t>
        </is>
      </c>
      <c r="B27" s="2" t="inlineStr">
        <is>
          <t>Observability</t>
        </is>
      </c>
    </row>
    <row r="28">
      <c r="A28" s="2" t="inlineStr">
        <is>
          <t>Category</t>
        </is>
      </c>
      <c r="B28" s="2" t="inlineStr">
        <is>
          <t>Cloud Mapping</t>
        </is>
      </c>
    </row>
    <row r="29">
      <c r="A29" s="2" t="inlineStr">
        <is>
          <t>Category</t>
        </is>
      </c>
      <c r="B29" s="2" t="inlineStr">
        <is>
          <t>Documentation</t>
        </is>
      </c>
    </row>
    <row r="30">
      <c r="A30" s="2" t="inlineStr">
        <is>
          <t>Category</t>
        </is>
      </c>
      <c r="B30" s="2" t="inlineStr">
        <is>
          <t>University</t>
        </is>
      </c>
    </row>
    <row r="31">
      <c r="A31" s="2" t="inlineStr">
        <is>
          <t>Category</t>
        </is>
      </c>
      <c r="B31" s="2" t="inlineStr">
        <is>
          <t>Certification</t>
        </is>
      </c>
    </row>
    <row r="32">
      <c r="A32" s="2" t="inlineStr">
        <is>
          <t>Category</t>
        </is>
      </c>
      <c r="B32" s="2" t="inlineStr">
        <is>
          <t>Recovery</t>
        </is>
      </c>
    </row>
    <row r="33">
      <c r="A33" s="2" t="inlineStr">
        <is>
          <t>SystemProject</t>
        </is>
      </c>
      <c r="B33" s="2" t="inlineStr">
        <is>
          <t>student-feedback-system</t>
        </is>
      </c>
    </row>
    <row r="34">
      <c r="A34" s="2" t="inlineStr">
        <is>
          <t>SystemProject</t>
        </is>
      </c>
      <c r="B34" s="2" t="inlineStr">
        <is>
          <t>Proxmox</t>
        </is>
      </c>
    </row>
    <row r="35">
      <c r="A35" s="2" t="inlineStr">
        <is>
          <t>SystemProject</t>
        </is>
      </c>
      <c r="B35" s="2" t="inlineStr">
        <is>
          <t>VyOS / Router</t>
        </is>
      </c>
    </row>
    <row r="36">
      <c r="A36" s="2" t="inlineStr">
        <is>
          <t>SystemProject</t>
        </is>
      </c>
      <c r="B36" s="2" t="inlineStr">
        <is>
          <t>Headscale / Tailscale</t>
        </is>
      </c>
    </row>
    <row r="37">
      <c r="A37" s="2" t="inlineStr">
        <is>
          <t>SystemProject</t>
        </is>
      </c>
      <c r="B37" s="2" t="inlineStr">
        <is>
          <t>Docker</t>
        </is>
      </c>
    </row>
    <row r="38">
      <c r="A38" s="2" t="inlineStr">
        <is>
          <t>SystemProject</t>
        </is>
      </c>
      <c r="B38" s="2" t="inlineStr">
        <is>
          <t>Kubernetes</t>
        </is>
      </c>
    </row>
    <row r="39">
      <c r="A39" s="2" t="inlineStr">
        <is>
          <t>SystemProject</t>
        </is>
      </c>
      <c r="B39" s="2" t="inlineStr">
        <is>
          <t>Grafana / Prometheus / Loki</t>
        </is>
      </c>
    </row>
    <row r="40">
      <c r="A40" s="2" t="inlineStr">
        <is>
          <t>SystemProject</t>
        </is>
      </c>
      <c r="B40" s="2" t="inlineStr">
        <is>
          <t>SQL Server / PostgreSQL</t>
        </is>
      </c>
    </row>
    <row r="41">
      <c r="A41" s="2" t="inlineStr">
        <is>
          <t>SystemProject</t>
        </is>
      </c>
      <c r="B41" s="2" t="inlineStr">
        <is>
          <t>RabbitMQ / MinIO</t>
        </is>
      </c>
    </row>
    <row r="42">
      <c r="A42" s="2" t="inlineStr">
        <is>
          <t>SystemProject</t>
        </is>
      </c>
      <c r="B42" s="2" t="inlineStr">
        <is>
          <t>GitHub / CI-CD</t>
        </is>
      </c>
    </row>
    <row r="43">
      <c r="A43" s="2" t="inlineStr">
        <is>
          <t>SystemProject</t>
        </is>
      </c>
      <c r="B43" s="2" t="inlineStr">
        <is>
          <t>Portfolio</t>
        </is>
      </c>
    </row>
    <row r="44">
      <c r="A44" s="2" t="inlineStr">
        <is>
          <t>SystemProject</t>
        </is>
      </c>
      <c r="B44" s="2" t="inlineStr">
        <is>
          <t>University Course</t>
        </is>
      </c>
    </row>
    <row r="45">
      <c r="A45" s="2" t="inlineStr">
        <is>
          <t>SystemProject</t>
        </is>
      </c>
      <c r="B45" s="2" t="inlineStr">
        <is>
          <t>Other</t>
        </is>
      </c>
    </row>
    <row r="46">
      <c r="A46" s="2" t="inlineStr">
        <is>
          <t>EvidenceProduced</t>
        </is>
      </c>
      <c r="B46" s="2" t="inlineStr">
        <is>
          <t>Yes</t>
        </is>
      </c>
    </row>
    <row r="47">
      <c r="A47" s="2" t="inlineStr">
        <is>
          <t>EvidenceProduced</t>
        </is>
      </c>
      <c r="B47" s="2" t="inlineStr">
        <is>
          <t>Partial</t>
        </is>
      </c>
    </row>
    <row r="48">
      <c r="A48" s="2" t="inlineStr">
        <is>
          <t>EvidenceProduced</t>
        </is>
      </c>
      <c r="B48" s="2" t="inlineStr">
        <is>
          <t>No</t>
        </is>
      </c>
    </row>
    <row r="49">
      <c r="A49" s="2" t="inlineStr">
        <is>
          <t>YesNoNA</t>
        </is>
      </c>
      <c r="B49" s="2" t="inlineStr">
        <is>
          <t>Yes</t>
        </is>
      </c>
    </row>
    <row r="50">
      <c r="A50" s="2" t="inlineStr">
        <is>
          <t>YesNoNA</t>
        </is>
      </c>
      <c r="B50" s="2" t="inlineStr">
        <is>
          <t>No</t>
        </is>
      </c>
    </row>
    <row r="51">
      <c r="A51" s="2" t="inlineStr">
        <is>
          <t>YesNoNA</t>
        </is>
      </c>
      <c r="B51" s="2" t="inlineStr">
        <is>
          <t>N/A</t>
        </is>
      </c>
    </row>
    <row r="52">
      <c r="A52" s="2" t="inlineStr">
        <is>
          <t>YesNo</t>
        </is>
      </c>
      <c r="B52" s="2" t="inlineStr">
        <is>
          <t>Yes</t>
        </is>
      </c>
    </row>
    <row r="53">
      <c r="A53" s="2" t="inlineStr">
        <is>
          <t>YesNo</t>
        </is>
      </c>
      <c r="B53" s="2" t="inlineStr">
        <is>
          <t>No</t>
        </is>
      </c>
    </row>
    <row r="54">
      <c r="A54" s="2" t="inlineStr">
        <is>
          <t>EnergyLevel</t>
        </is>
      </c>
      <c r="B54" s="2" t="n">
        <v>1</v>
      </c>
    </row>
    <row r="55">
      <c r="A55" s="2" t="inlineStr">
        <is>
          <t>EnergyLevel</t>
        </is>
      </c>
      <c r="B55" s="2" t="n">
        <v>2</v>
      </c>
    </row>
    <row r="56">
      <c r="A56" s="2" t="inlineStr">
        <is>
          <t>EnergyLevel</t>
        </is>
      </c>
      <c r="B56" s="2" t="n">
        <v>3</v>
      </c>
    </row>
    <row r="57">
      <c r="A57" s="2" t="inlineStr">
        <is>
          <t>EnergyLevel</t>
        </is>
      </c>
      <c r="B57" s="2" t="n">
        <v>4</v>
      </c>
    </row>
    <row r="58">
      <c r="A58" s="2" t="inlineStr">
        <is>
          <t>EnergyLevel</t>
        </is>
      </c>
      <c r="B58" s="2" t="n">
        <v>5</v>
      </c>
    </row>
    <row r="59">
      <c r="A59" s="2" t="inlineStr">
        <is>
          <t>SchoolRiskLevel</t>
        </is>
      </c>
      <c r="B59" s="2" t="inlineStr">
        <is>
          <t>Green</t>
        </is>
      </c>
    </row>
    <row r="60">
      <c r="A60" s="2" t="inlineStr">
        <is>
          <t>SchoolRiskLevel</t>
        </is>
      </c>
      <c r="B60" s="2" t="inlineStr">
        <is>
          <t>Yellow</t>
        </is>
      </c>
    </row>
    <row r="61">
      <c r="A61" s="2" t="inlineStr">
        <is>
          <t>SchoolRiskLevel</t>
        </is>
      </c>
      <c r="B61" s="2" t="inlineStr">
        <is>
          <t>Red</t>
        </is>
      </c>
    </row>
    <row r="62">
      <c r="A62" s="2" t="inlineStr">
        <is>
          <t>Status</t>
        </is>
      </c>
      <c r="B62" s="2" t="inlineStr">
        <is>
          <t>Planned</t>
        </is>
      </c>
    </row>
    <row r="63">
      <c r="A63" s="2" t="inlineStr">
        <is>
          <t>Status</t>
        </is>
      </c>
      <c r="B63" s="2" t="inlineStr">
        <is>
          <t>In Progress</t>
        </is>
      </c>
    </row>
    <row r="64">
      <c r="A64" s="2" t="inlineStr">
        <is>
          <t>Status</t>
        </is>
      </c>
      <c r="B64" s="2" t="inlineStr">
        <is>
          <t>Done</t>
        </is>
      </c>
    </row>
    <row r="65">
      <c r="A65" s="2" t="inlineStr">
        <is>
          <t>Status</t>
        </is>
      </c>
      <c r="B65" s="2" t="inlineStr">
        <is>
          <t>Blocked</t>
        </is>
      </c>
    </row>
    <row r="66">
      <c r="A66" s="2" t="inlineStr">
        <is>
          <t>Status</t>
        </is>
      </c>
      <c r="B66" s="2" t="inlineStr">
        <is>
          <t>Deferred</t>
        </is>
      </c>
    </row>
    <row r="67">
      <c r="A67" s="2" t="inlineStr">
        <is>
          <t>Status</t>
        </is>
      </c>
      <c r="B67" s="2" t="inlineStr">
        <is>
          <t>Cancelled</t>
        </is>
      </c>
    </row>
    <row r="68">
      <c r="A68" s="2" t="inlineStr">
        <is>
          <t>ReviewStatus</t>
        </is>
      </c>
      <c r="B68" s="2" t="inlineStr">
        <is>
          <t>Not Started</t>
        </is>
      </c>
    </row>
    <row r="69">
      <c r="A69" s="2" t="inlineStr">
        <is>
          <t>ReviewStatus</t>
        </is>
      </c>
      <c r="B69" s="2" t="inlineStr">
        <is>
          <t>In Progress</t>
        </is>
      </c>
    </row>
    <row r="70">
      <c r="A70" s="2" t="inlineStr">
        <is>
          <t>ReviewStatus</t>
        </is>
      </c>
      <c r="B70" s="2" t="inlineStr">
        <is>
          <t>Done</t>
        </is>
      </c>
    </row>
    <row r="71">
      <c r="A71" s="2" t="inlineStr">
        <is>
          <t>ReviewStatus</t>
        </is>
      </c>
      <c r="B71" s="2" t="inlineStr">
        <is>
          <t>Needs Fix</t>
        </is>
      </c>
    </row>
    <row r="72">
      <c r="A72" s="2" t="inlineStr">
        <is>
          <t>ReviewStatus</t>
        </is>
      </c>
      <c r="B72" s="2" t="inlineStr">
        <is>
          <t>Skipped due to School Risk</t>
        </is>
      </c>
    </row>
    <row r="73">
      <c r="A73" s="2" t="inlineStr">
        <is>
          <t>DecisionNextWeek</t>
        </is>
      </c>
      <c r="B73" s="2" t="inlineStr">
        <is>
          <t>Continue</t>
        </is>
      </c>
    </row>
    <row r="74">
      <c r="A74" s="2" t="inlineStr">
        <is>
          <t>DecisionNextWeek</t>
        </is>
      </c>
      <c r="B74" s="2" t="inlineStr">
        <is>
          <t>Reduce Scope</t>
        </is>
      </c>
    </row>
    <row r="75">
      <c r="A75" s="2" t="inlineStr">
        <is>
          <t>DecisionNextWeek</t>
        </is>
      </c>
      <c r="B75" s="2" t="inlineStr">
        <is>
          <t>Documentation Only</t>
        </is>
      </c>
    </row>
    <row r="76">
      <c r="A76" s="2" t="inlineStr">
        <is>
          <t>DecisionNextWeek</t>
        </is>
      </c>
      <c r="B76" s="2" t="inlineStr">
        <is>
          <t>Certification Focus</t>
        </is>
      </c>
    </row>
    <row r="77">
      <c r="A77" s="2" t="inlineStr">
        <is>
          <t>DecisionNextWeek</t>
        </is>
      </c>
      <c r="B77" s="2" t="inlineStr">
        <is>
          <t>University Priority</t>
        </is>
      </c>
    </row>
    <row r="78">
      <c r="A78" s="2" t="inlineStr">
        <is>
          <t>DecisionNextWeek</t>
        </is>
      </c>
      <c r="B78" s="2" t="inlineStr">
        <is>
          <t>Recovery Week</t>
        </is>
      </c>
    </row>
    <row r="79">
      <c r="A79" s="2" t="inlineStr">
        <is>
          <t>DecisionNextWeek</t>
        </is>
      </c>
      <c r="B79" s="2" t="inlineStr">
        <is>
          <t>Buffer Week</t>
        </is>
      </c>
    </row>
    <row r="80">
      <c r="A80" s="2" t="inlineStr">
        <is>
          <t>WIPStatus</t>
        </is>
      </c>
      <c r="B80" s="2" t="inlineStr">
        <is>
          <t>OK</t>
        </is>
      </c>
    </row>
    <row r="81">
      <c r="A81" s="2" t="inlineStr">
        <is>
          <t>WIPStatus</t>
        </is>
      </c>
      <c r="B81" s="2" t="inlineStr">
        <is>
          <t>Warning</t>
        </is>
      </c>
    </row>
    <row r="82">
      <c r="A82" s="2" t="inlineStr">
        <is>
          <t>WIPStatus</t>
        </is>
      </c>
      <c r="B82" s="2" t="inlineStr">
        <is>
          <t>Violation</t>
        </is>
      </c>
    </row>
    <row r="83">
      <c r="A83" s="2" t="inlineStr">
        <is>
          <t>ActionRequired</t>
        </is>
      </c>
      <c r="B83" s="2" t="inlineStr">
        <is>
          <t>Continue</t>
        </is>
      </c>
    </row>
    <row r="84">
      <c r="A84" s="2" t="inlineStr">
        <is>
          <t>ActionRequired</t>
        </is>
      </c>
      <c r="B84" s="2" t="inlineStr">
        <is>
          <t>Pause Homelab</t>
        </is>
      </c>
    </row>
    <row r="85">
      <c r="A85" s="2" t="inlineStr">
        <is>
          <t>ActionRequired</t>
        </is>
      </c>
      <c r="B85" s="2" t="inlineStr">
        <is>
          <t>Documentation Only</t>
        </is>
      </c>
    </row>
    <row r="86">
      <c r="A86" s="2" t="inlineStr">
        <is>
          <t>ActionRequired</t>
        </is>
      </c>
      <c r="B86" s="2" t="inlineStr">
        <is>
          <t>Drop Optional Task</t>
        </is>
      </c>
    </row>
    <row r="87">
      <c r="A87" s="2" t="inlineStr">
        <is>
          <t>ActionRequired</t>
        </is>
      </c>
      <c r="B87" s="2" t="inlineStr">
        <is>
          <t>Finish School Work First</t>
        </is>
      </c>
    </row>
    <row r="88">
      <c r="A88" s="2" t="inlineStr">
        <is>
          <t>ActionRequired</t>
        </is>
      </c>
      <c r="B88" s="2" t="inlineStr">
        <is>
          <t>Recovery</t>
        </is>
      </c>
    </row>
    <row r="89">
      <c r="A89" s="2" t="inlineStr">
        <is>
          <t>ChaosModeStatus</t>
        </is>
      </c>
      <c r="B89" s="2" t="inlineStr">
        <is>
          <t>Off</t>
        </is>
      </c>
    </row>
    <row r="90">
      <c r="A90" s="2" t="inlineStr">
        <is>
          <t>ChaosModeStatus</t>
        </is>
      </c>
      <c r="B90" s="2" t="inlineStr">
        <is>
          <t>Watch</t>
        </is>
      </c>
    </row>
    <row r="91">
      <c r="A91" s="2" t="inlineStr">
        <is>
          <t>ChaosModeStatus</t>
        </is>
      </c>
      <c r="B91" s="2" t="inlineStr">
        <is>
          <t>On</t>
        </is>
      </c>
    </row>
    <row r="92">
      <c r="A92" s="2" t="inlineStr">
        <is>
          <t>AllowedWork</t>
        </is>
      </c>
      <c r="B92" s="2" t="inlineStr">
        <is>
          <t>School deadline</t>
        </is>
      </c>
    </row>
    <row r="93">
      <c r="A93" s="2" t="inlineStr">
        <is>
          <t>AllowedWork</t>
        </is>
      </c>
      <c r="B93" s="2" t="inlineStr">
        <is>
          <t>Keep services stable</t>
        </is>
      </c>
    </row>
    <row r="94">
      <c r="A94" s="2" t="inlineStr">
        <is>
          <t>AllowedWork</t>
        </is>
      </c>
      <c r="B94" s="2" t="inlineStr">
        <is>
          <t>Theory mapping note</t>
        </is>
      </c>
    </row>
    <row r="95">
      <c r="A95" s="2" t="inlineStr">
        <is>
          <t>AllowedWork</t>
        </is>
      </c>
      <c r="B95" s="2" t="inlineStr">
        <is>
          <t>Evidence parking</t>
        </is>
      </c>
    </row>
    <row r="96">
      <c r="A96" s="2" t="inlineStr">
        <is>
          <t>AllowedWork</t>
        </is>
      </c>
      <c r="B96" s="2" t="inlineStr">
        <is>
          <t>Documentation only</t>
        </is>
      </c>
    </row>
    <row r="97">
      <c r="A97" s="2" t="inlineStr">
        <is>
          <t>AllowedWork</t>
        </is>
      </c>
      <c r="B97" s="2" t="inlineStr">
        <is>
          <t>Maintenance review</t>
        </is>
      </c>
    </row>
    <row r="98">
      <c r="A98" s="2" t="inlineStr">
        <is>
          <t>AllowedWork</t>
        </is>
      </c>
      <c r="B98" s="2" t="inlineStr">
        <is>
          <t>Recovery</t>
        </is>
      </c>
    </row>
    <row r="99">
      <c r="A99" s="2" t="inlineStr">
        <is>
          <t>BannedWork</t>
        </is>
      </c>
      <c r="B99" s="2" t="inlineStr">
        <is>
          <t>New failure injection</t>
        </is>
      </c>
    </row>
    <row r="100">
      <c r="A100" s="2" t="inlineStr">
        <is>
          <t>BannedWork</t>
        </is>
      </c>
      <c r="B100" s="2" t="inlineStr">
        <is>
          <t>New infrastructure change</t>
        </is>
      </c>
    </row>
    <row r="101">
      <c r="A101" s="2" t="inlineStr">
        <is>
          <t>BannedWork</t>
        </is>
      </c>
      <c r="B101" s="2" t="inlineStr">
        <is>
          <t>New Kubernetes topic</t>
        </is>
      </c>
    </row>
    <row r="102">
      <c r="A102" s="2" t="inlineStr">
        <is>
          <t>BannedWork</t>
        </is>
      </c>
      <c r="B102" s="2" t="inlineStr">
        <is>
          <t>Aggressive scan</t>
        </is>
      </c>
    </row>
    <row r="103">
      <c r="A103" s="2" t="inlineStr">
        <is>
          <t>BannedWork</t>
        </is>
      </c>
      <c r="B103" s="2" t="inlineStr">
        <is>
          <t>Late-night debugging</t>
        </is>
      </c>
    </row>
    <row r="104">
      <c r="A104" s="2" t="inlineStr">
        <is>
          <t>BannedWork</t>
        </is>
      </c>
      <c r="B104" s="2" t="inlineStr">
        <is>
          <t>Optional tool setup</t>
        </is>
      </c>
    </row>
    <row r="105">
      <c r="A105" s="2" t="inlineStr">
        <is>
          <t>RecoveryAction</t>
        </is>
      </c>
      <c r="B105" s="2" t="inlineStr">
        <is>
          <t>Sleep</t>
        </is>
      </c>
    </row>
    <row r="106">
      <c r="A106" s="2" t="inlineStr">
        <is>
          <t>RecoveryAction</t>
        </is>
      </c>
      <c r="B106" s="2" t="inlineStr">
        <is>
          <t>Run</t>
        </is>
      </c>
    </row>
    <row r="107">
      <c r="A107" s="2" t="inlineStr">
        <is>
          <t>RecoveryAction</t>
        </is>
      </c>
      <c r="B107" s="2" t="inlineStr">
        <is>
          <t>Close backlog</t>
        </is>
      </c>
    </row>
    <row r="108">
      <c r="A108" s="2" t="inlineStr">
        <is>
          <t>RecoveryAction</t>
        </is>
      </c>
      <c r="B108" s="2" t="inlineStr">
        <is>
          <t>Submit school work</t>
        </is>
      </c>
    </row>
    <row r="109">
      <c r="A109" s="2" t="inlineStr">
        <is>
          <t>RecoveryAction</t>
        </is>
      </c>
      <c r="B109" s="2" t="inlineStr">
        <is>
          <t>Restore service</t>
        </is>
      </c>
    </row>
    <row r="110">
      <c r="A110" s="2" t="inlineStr">
        <is>
          <t>RecoveryAction</t>
        </is>
      </c>
      <c r="B110" s="2" t="inlineStr">
        <is>
          <t>Write short note</t>
        </is>
      </c>
    </row>
    <row r="111">
      <c r="A111" s="2" t="inlineStr">
        <is>
          <t>RecoveryAction</t>
        </is>
      </c>
      <c r="B111" s="2" t="inlineStr">
        <is>
          <t>Buffer week</t>
        </is>
      </c>
    </row>
    <row r="112">
      <c r="A112" s="2" t="inlineStr">
        <is>
          <t>EvidenceType</t>
        </is>
      </c>
      <c r="B112" s="2" t="inlineStr">
        <is>
          <t>Command Transcript</t>
        </is>
      </c>
    </row>
    <row r="113">
      <c r="A113" s="2" t="inlineStr">
        <is>
          <t>EvidenceType</t>
        </is>
      </c>
      <c r="B113" s="2" t="inlineStr">
        <is>
          <t>Screenshot</t>
        </is>
      </c>
    </row>
    <row r="114">
      <c r="A114" s="2" t="inlineStr">
        <is>
          <t>EvidenceType</t>
        </is>
      </c>
      <c r="B114" s="2" t="inlineStr">
        <is>
          <t>Log</t>
        </is>
      </c>
    </row>
    <row r="115">
      <c r="A115" s="2" t="inlineStr">
        <is>
          <t>EvidenceType</t>
        </is>
      </c>
      <c r="B115" s="2" t="inlineStr">
        <is>
          <t>Packet Capture</t>
        </is>
      </c>
    </row>
    <row r="116">
      <c r="A116" s="2" t="inlineStr">
        <is>
          <t>EvidenceType</t>
        </is>
      </c>
      <c r="B116" s="2" t="inlineStr">
        <is>
          <t>Metric Graph</t>
        </is>
      </c>
    </row>
    <row r="117">
      <c r="A117" s="2" t="inlineStr">
        <is>
          <t>EvidenceType</t>
        </is>
      </c>
      <c r="B117" s="2" t="inlineStr">
        <is>
          <t>Config Diff</t>
        </is>
      </c>
    </row>
    <row r="118">
      <c r="A118" s="2" t="inlineStr">
        <is>
          <t>EvidenceType</t>
        </is>
      </c>
      <c r="B118" s="2" t="inlineStr">
        <is>
          <t>Diagram</t>
        </is>
      </c>
    </row>
    <row r="119">
      <c r="A119" s="2" t="inlineStr">
        <is>
          <t>EvidenceType</t>
        </is>
      </c>
      <c r="B119" s="2" t="inlineStr">
        <is>
          <t>Lab Report</t>
        </is>
      </c>
    </row>
    <row r="120">
      <c r="A120" s="2" t="inlineStr">
        <is>
          <t>EvidenceType</t>
        </is>
      </c>
      <c r="B120" s="2" t="inlineStr">
        <is>
          <t>Postmortem</t>
        </is>
      </c>
    </row>
    <row r="121">
      <c r="A121" s="2" t="inlineStr">
        <is>
          <t>EvidenceType</t>
        </is>
      </c>
      <c r="B121" s="2" t="inlineStr">
        <is>
          <t>ADR</t>
        </is>
      </c>
    </row>
    <row r="122">
      <c r="A122" s="2" t="inlineStr">
        <is>
          <t>EvidenceType</t>
        </is>
      </c>
      <c r="B122" s="2" t="inlineStr">
        <is>
          <t>Runbook</t>
        </is>
      </c>
    </row>
    <row r="123">
      <c r="A123" s="2" t="inlineStr">
        <is>
          <t>EvidenceType</t>
        </is>
      </c>
      <c r="B123" s="2" t="inlineStr">
        <is>
          <t>Portfolio Case Study</t>
        </is>
      </c>
    </row>
    <row r="124">
      <c r="A124" s="2" t="inlineStr">
        <is>
          <t>EvidenceLevel</t>
        </is>
      </c>
      <c r="B124" s="2" t="inlineStr">
        <is>
          <t>Level 0 Raw</t>
        </is>
      </c>
    </row>
    <row r="125">
      <c r="A125" s="2" t="inlineStr">
        <is>
          <t>EvidenceLevel</t>
        </is>
      </c>
      <c r="B125" s="2" t="inlineStr">
        <is>
          <t>Level 1 Clean Observation</t>
        </is>
      </c>
    </row>
    <row r="126">
      <c r="A126" s="2" t="inlineStr">
        <is>
          <t>EvidenceLevel</t>
        </is>
      </c>
      <c r="B126" s="2" t="inlineStr">
        <is>
          <t>Level 2 Lab Report</t>
        </is>
      </c>
    </row>
    <row r="127">
      <c r="A127" s="2" t="inlineStr">
        <is>
          <t>EvidenceLevel</t>
        </is>
      </c>
      <c r="B127" s="2" t="inlineStr">
        <is>
          <t>Level 3 Engineering Document</t>
        </is>
      </c>
    </row>
    <row r="128">
      <c r="A128" s="2" t="inlineStr">
        <is>
          <t>EvidenceLevel</t>
        </is>
      </c>
      <c r="B128" s="2" t="inlineStr">
        <is>
          <t>Level 4 Portfolio Case Study</t>
        </is>
      </c>
    </row>
    <row r="129">
      <c r="A129" s="2" t="inlineStr">
        <is>
          <t>EvidenceQueueStatus</t>
        </is>
      </c>
      <c r="B129" s="2" t="inlineStr">
        <is>
          <t>Raw</t>
        </is>
      </c>
    </row>
    <row r="130">
      <c r="A130" s="2" t="inlineStr">
        <is>
          <t>EvidenceQueueStatus</t>
        </is>
      </c>
      <c r="B130" s="2" t="inlineStr">
        <is>
          <t>Cleaned</t>
        </is>
      </c>
    </row>
    <row r="131">
      <c r="A131" s="2" t="inlineStr">
        <is>
          <t>EvidenceQueueStatus</t>
        </is>
      </c>
      <c r="B131" s="2" t="inlineStr">
        <is>
          <t>Linked to Report</t>
        </is>
      </c>
    </row>
    <row r="132">
      <c r="A132" s="2" t="inlineStr">
        <is>
          <t>EvidenceQueueStatus</t>
        </is>
      </c>
      <c r="B132" s="2" t="inlineStr">
        <is>
          <t>Reviewed</t>
        </is>
      </c>
    </row>
    <row r="133">
      <c r="A133" s="2" t="inlineStr">
        <is>
          <t>EvidenceQueueStatus</t>
        </is>
      </c>
      <c r="B133" s="2" t="inlineStr">
        <is>
          <t>Archived</t>
        </is>
      </c>
    </row>
    <row r="134">
      <c r="A134" s="2" t="inlineStr">
        <is>
          <t>CertificationTrack</t>
        </is>
      </c>
      <c r="B134" s="2" t="inlineStr">
        <is>
          <t>CCNA</t>
        </is>
      </c>
    </row>
    <row r="135">
      <c r="A135" s="2" t="inlineStr">
        <is>
          <t>CertificationTrack</t>
        </is>
      </c>
      <c r="B135" s="2" t="inlineStr">
        <is>
          <t>CKA</t>
        </is>
      </c>
    </row>
    <row r="136">
      <c r="A136" s="2" t="inlineStr">
        <is>
          <t>CertificationTrack</t>
        </is>
      </c>
      <c r="B136" s="2" t="inlineStr">
        <is>
          <t>AWS SAA</t>
        </is>
      </c>
    </row>
    <row r="137">
      <c r="A137" s="2" t="inlineStr">
        <is>
          <t>CertificationTrack</t>
        </is>
      </c>
      <c r="B137" s="2" t="inlineStr">
        <is>
          <t>Maintenance Review</t>
        </is>
      </c>
    </row>
    <row r="138">
      <c r="A138" s="2" t="inlineStr">
        <is>
          <t>StudyType</t>
        </is>
      </c>
      <c r="B138" s="2" t="inlineStr">
        <is>
          <t>Theory</t>
        </is>
      </c>
    </row>
    <row r="139">
      <c r="A139" s="2" t="inlineStr">
        <is>
          <t>StudyType</t>
        </is>
      </c>
      <c r="B139" s="2" t="inlineStr">
        <is>
          <t>Lab</t>
        </is>
      </c>
    </row>
    <row r="140">
      <c r="A140" s="2" t="inlineStr">
        <is>
          <t>StudyType</t>
        </is>
      </c>
      <c r="B140" s="2" t="inlineStr">
        <is>
          <t>Practice Exam</t>
        </is>
      </c>
    </row>
    <row r="141">
      <c r="A141" s="2" t="inlineStr">
        <is>
          <t>StudyType</t>
        </is>
      </c>
      <c r="B141" s="2" t="inlineStr">
        <is>
          <t>Flashcards</t>
        </is>
      </c>
    </row>
    <row r="142">
      <c r="A142" s="2" t="inlineStr">
        <is>
          <t>StudyType</t>
        </is>
      </c>
      <c r="B142" s="2" t="inlineStr">
        <is>
          <t>Troubleshooting Drill</t>
        </is>
      </c>
    </row>
    <row r="143">
      <c r="A143" s="2" t="inlineStr">
        <is>
          <t>StudyType</t>
        </is>
      </c>
      <c r="B143" s="2" t="inlineStr">
        <is>
          <t>Review</t>
        </is>
      </c>
    </row>
    <row r="144">
      <c r="A144" s="2" t="inlineStr">
        <is>
          <t>StressLevel</t>
        </is>
      </c>
      <c r="B144" s="2" t="inlineStr">
        <is>
          <t>Low</t>
        </is>
      </c>
    </row>
    <row r="145">
      <c r="A145" s="2" t="inlineStr">
        <is>
          <t>StressLevel</t>
        </is>
      </c>
      <c r="B145" s="2" t="inlineStr">
        <is>
          <t>Medium</t>
        </is>
      </c>
    </row>
    <row r="146">
      <c r="A146" s="2" t="inlineStr">
        <is>
          <t>StressLevel</t>
        </is>
      </c>
      <c r="B146" s="2" t="inlineStr">
        <is>
          <t>High</t>
        </is>
      </c>
    </row>
    <row r="147">
      <c r="A147" s="2" t="inlineStr">
        <is>
          <t>ContextSwitchingLevel</t>
        </is>
      </c>
      <c r="B147" s="2" t="inlineStr">
        <is>
          <t>Low</t>
        </is>
      </c>
    </row>
    <row r="148">
      <c r="A148" s="2" t="inlineStr">
        <is>
          <t>ContextSwitchingLevel</t>
        </is>
      </c>
      <c r="B148" s="2" t="inlineStr">
        <is>
          <t>Medium</t>
        </is>
      </c>
    </row>
    <row r="149">
      <c r="A149" s="2" t="inlineStr">
        <is>
          <t>ContextSwitchingLevel</t>
        </is>
      </c>
      <c r="B149" s="2" t="inlineStr">
        <is>
          <t>High</t>
        </is>
      </c>
    </row>
    <row r="150">
      <c r="A150" s="2" t="inlineStr">
        <is>
          <t>MonthlyDecision</t>
        </is>
      </c>
      <c r="B150" s="2" t="inlineStr">
        <is>
          <t>Continue</t>
        </is>
      </c>
    </row>
    <row r="151">
      <c r="A151" s="2" t="inlineStr">
        <is>
          <t>MonthlyDecision</t>
        </is>
      </c>
      <c r="B151" s="2" t="inlineStr">
        <is>
          <t>Reduce Scope</t>
        </is>
      </c>
    </row>
    <row r="152">
      <c r="A152" s="2" t="inlineStr">
        <is>
          <t>MonthlyDecision</t>
        </is>
      </c>
      <c r="B152" s="2" t="inlineStr">
        <is>
          <t>Buffer</t>
        </is>
      </c>
    </row>
    <row r="153">
      <c r="A153" s="2" t="inlineStr">
        <is>
          <t>MonthlyDecision</t>
        </is>
      </c>
      <c r="B153" s="2" t="inlineStr">
        <is>
          <t>Certification Focus</t>
        </is>
      </c>
    </row>
    <row r="154">
      <c r="A154" s="2" t="inlineStr">
        <is>
          <t>MonthlyDecision</t>
        </is>
      </c>
      <c r="B154" s="2" t="inlineStr">
        <is>
          <t>School Priority</t>
        </is>
      </c>
    </row>
    <row r="155">
      <c r="A155" s="2" t="inlineStr">
        <is>
          <t>MonthlyDecision</t>
        </is>
      </c>
      <c r="B155" s="2" t="inlineStr">
        <is>
          <t>Portfolio Polish</t>
        </is>
      </c>
    </row>
    <row r="156">
      <c r="A156" s="2" t="inlineStr">
        <is>
          <t>MonthlyDecision</t>
        </is>
      </c>
      <c r="B156" s="2" t="inlineStr">
        <is>
          <t>Recovery</t>
        </is>
      </c>
    </row>
    <row r="157">
      <c r="A157" s="2" t="inlineStr">
        <is>
          <t>WorkStatus</t>
        </is>
      </c>
      <c r="B157" s="2" t="inlineStr">
        <is>
          <t>None</t>
        </is>
      </c>
    </row>
    <row r="158">
      <c r="A158" s="2" t="inlineStr">
        <is>
          <t>WorkStatus</t>
        </is>
      </c>
      <c r="B158" s="2" t="inlineStr">
        <is>
          <t>Planned</t>
        </is>
      </c>
    </row>
    <row r="159">
      <c r="A159" s="2" t="inlineStr">
        <is>
          <t>WorkStatus</t>
        </is>
      </c>
      <c r="B159" s="2" t="inlineStr">
        <is>
          <t>Active</t>
        </is>
      </c>
    </row>
    <row r="160">
      <c r="A160" s="2" t="inlineStr">
        <is>
          <t>WorkStatus</t>
        </is>
      </c>
      <c r="B160" s="2" t="inlineStr">
        <is>
          <t>Blocked</t>
        </is>
      </c>
    </row>
    <row r="161">
      <c r="A161" s="2" t="inlineStr">
        <is>
          <t>WorkStatus</t>
        </is>
      </c>
      <c r="B161" s="2" t="inlineStr">
        <is>
          <t>Done</t>
        </is>
      </c>
    </row>
    <row r="162">
      <c r="A162" s="2" t="inlineStr">
        <is>
          <t>WorkStatus</t>
        </is>
      </c>
      <c r="B162" s="2" t="inlineStr">
        <is>
          <t>Paused</t>
        </is>
      </c>
    </row>
    <row r="163">
      <c r="A163" s="2" t="inlineStr">
        <is>
          <t>SchoolStatus</t>
        </is>
      </c>
      <c r="B163" s="2" t="inlineStr">
        <is>
          <t>On Track</t>
        </is>
      </c>
    </row>
    <row r="164">
      <c r="A164" s="2" t="inlineStr">
        <is>
          <t>SchoolStatus</t>
        </is>
      </c>
      <c r="B164" s="2" t="inlineStr">
        <is>
          <t>Needs Attention</t>
        </is>
      </c>
    </row>
    <row r="165">
      <c r="A165" s="2" t="inlineStr">
        <is>
          <t>SchoolStatus</t>
        </is>
      </c>
      <c r="B165" s="2" t="inlineStr">
        <is>
          <t>Critical</t>
        </is>
      </c>
    </row>
    <row r="166">
      <c r="A166" s="2" t="inlineStr">
        <is>
          <t>SchoolStatus</t>
        </is>
      </c>
      <c r="B166" s="2" t="inlineStr">
        <is>
          <t>Submitted</t>
        </is>
      </c>
    </row>
    <row r="167">
      <c r="A167" s="2" t="inlineStr">
        <is>
          <t>SchoolStatus</t>
        </is>
      </c>
      <c r="B167" s="2" t="inlineStr">
        <is>
          <t>Waiting for Teammate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2026-05-31T13:22:15Z</dcterms:created>
  <dcterms:modified xsi:type="dcterms:W3CDTF">2026-05-31T13:35:33Z</dcterms:modified>
</cp:coreProperties>
</file>